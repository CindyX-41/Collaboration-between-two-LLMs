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showInkAnnotation="0" autoCompressPictures="0"/>
  <mc:AlternateContent xmlns:mc="http://schemas.openxmlformats.org/markup-compatibility/2006">
    <mc:Choice Requires="x15">
      <x15ac:absPath xmlns:x15ac="http://schemas.microsoft.com/office/spreadsheetml/2010/11/ac" url="C:\Users\zianl\Desktop\LLM Concepts\Category distribution\"/>
    </mc:Choice>
  </mc:AlternateContent>
  <xr:revisionPtr revIDLastSave="0" documentId="13_ncr:1_{971D2B28-977A-440F-ACD7-2607744FFE8D}" xr6:coauthVersionLast="47" xr6:coauthVersionMax="47" xr10:uidLastSave="{00000000-0000-0000-0000-000000000000}"/>
  <bookViews>
    <workbookView xWindow="28680" yWindow="-120" windowWidth="29040" windowHeight="15720" tabRatio="500" xr2:uid="{00000000-000D-0000-FFFF-FFFF00000000}"/>
  </bookViews>
  <sheets>
    <sheet name="Alarm Clock Total" sheetId="10" r:id="rId1"/>
    <sheet name="Corn shucker Total"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3" i="9" l="1"/>
  <c r="AA40" i="10"/>
  <c r="O2" i="9"/>
  <c r="AA2" i="9" s="1"/>
  <c r="AA33" i="9"/>
  <c r="Z42" i="10"/>
  <c r="Z2" i="10"/>
  <c r="N23" i="10" l="1"/>
  <c r="O23" i="10"/>
  <c r="P23" i="10"/>
  <c r="Q23" i="10"/>
  <c r="R23" i="10"/>
  <c r="S23" i="10"/>
  <c r="T23" i="10"/>
  <c r="U23" i="10"/>
  <c r="V23" i="10"/>
  <c r="W23" i="10"/>
  <c r="X23" i="10"/>
  <c r="Y23" i="10"/>
  <c r="N24" i="10"/>
  <c r="O24" i="10"/>
  <c r="P24" i="10"/>
  <c r="Q24" i="10"/>
  <c r="R24" i="10"/>
  <c r="S24" i="10"/>
  <c r="T24" i="10"/>
  <c r="U24" i="10"/>
  <c r="V24" i="10"/>
  <c r="W24" i="10"/>
  <c r="X24" i="10"/>
  <c r="Y24" i="10"/>
  <c r="N25" i="10"/>
  <c r="O25" i="10"/>
  <c r="P25" i="10"/>
  <c r="Q25" i="10"/>
  <c r="R25" i="10"/>
  <c r="S25" i="10"/>
  <c r="T25" i="10"/>
  <c r="U25" i="10"/>
  <c r="V25" i="10"/>
  <c r="W25" i="10"/>
  <c r="X25" i="10"/>
  <c r="Y25" i="10"/>
  <c r="N26" i="10"/>
  <c r="O26" i="10"/>
  <c r="P26" i="10"/>
  <c r="Q26" i="10"/>
  <c r="R26" i="10"/>
  <c r="S26" i="10"/>
  <c r="T26" i="10"/>
  <c r="U26" i="10"/>
  <c r="V26" i="10"/>
  <c r="W26" i="10"/>
  <c r="X26" i="10"/>
  <c r="Y26" i="10"/>
  <c r="N27" i="10"/>
  <c r="O27" i="10"/>
  <c r="P27" i="10"/>
  <c r="Q27" i="10"/>
  <c r="R27" i="10"/>
  <c r="S27" i="10"/>
  <c r="T27" i="10"/>
  <c r="U27" i="10"/>
  <c r="V27" i="10"/>
  <c r="W27" i="10"/>
  <c r="X27" i="10"/>
  <c r="Y27" i="10"/>
  <c r="N28" i="10"/>
  <c r="O28" i="10"/>
  <c r="P28" i="10"/>
  <c r="Q28" i="10"/>
  <c r="R28" i="10"/>
  <c r="S28" i="10"/>
  <c r="T28" i="10"/>
  <c r="U28" i="10"/>
  <c r="V28" i="10"/>
  <c r="W28" i="10"/>
  <c r="X28" i="10"/>
  <c r="Y28" i="10"/>
  <c r="N29" i="10"/>
  <c r="O29" i="10"/>
  <c r="P29" i="10"/>
  <c r="Q29" i="10"/>
  <c r="R29" i="10"/>
  <c r="S29" i="10"/>
  <c r="T29" i="10"/>
  <c r="U29" i="10"/>
  <c r="V29" i="10"/>
  <c r="W29" i="10"/>
  <c r="X29" i="10"/>
  <c r="Y29" i="10"/>
  <c r="N30" i="10"/>
  <c r="O30" i="10"/>
  <c r="P30" i="10"/>
  <c r="Q30" i="10"/>
  <c r="R30" i="10"/>
  <c r="S30" i="10"/>
  <c r="T30" i="10"/>
  <c r="U30" i="10"/>
  <c r="V30" i="10"/>
  <c r="W30" i="10"/>
  <c r="X30" i="10"/>
  <c r="Y30" i="10"/>
  <c r="N31" i="10"/>
  <c r="O31" i="10"/>
  <c r="P31" i="10"/>
  <c r="Q31" i="10"/>
  <c r="R31" i="10"/>
  <c r="S31" i="10"/>
  <c r="T31" i="10"/>
  <c r="U31" i="10"/>
  <c r="V31" i="10"/>
  <c r="W31" i="10"/>
  <c r="X31" i="10"/>
  <c r="Y31" i="10"/>
  <c r="N32" i="10"/>
  <c r="O32" i="10"/>
  <c r="P32" i="10"/>
  <c r="Q32" i="10"/>
  <c r="R32" i="10"/>
  <c r="S32" i="10"/>
  <c r="T32" i="10"/>
  <c r="U32" i="10"/>
  <c r="V32" i="10"/>
  <c r="W32" i="10"/>
  <c r="X32" i="10"/>
  <c r="Y32" i="10"/>
  <c r="N33" i="10"/>
  <c r="O33" i="10"/>
  <c r="P33" i="10"/>
  <c r="Q33" i="10"/>
  <c r="R33" i="10"/>
  <c r="S33" i="10"/>
  <c r="T33" i="10"/>
  <c r="U33" i="10"/>
  <c r="V33" i="10"/>
  <c r="W33" i="10"/>
  <c r="X33" i="10"/>
  <c r="Y33" i="10"/>
  <c r="N34" i="10"/>
  <c r="O34" i="10"/>
  <c r="P34" i="10"/>
  <c r="Q34" i="10"/>
  <c r="R34" i="10"/>
  <c r="S34" i="10"/>
  <c r="T34" i="10"/>
  <c r="U34" i="10"/>
  <c r="V34" i="10"/>
  <c r="W34" i="10"/>
  <c r="X34" i="10"/>
  <c r="Y34" i="10"/>
  <c r="N35" i="10"/>
  <c r="O35" i="10"/>
  <c r="P35" i="10"/>
  <c r="Q35" i="10"/>
  <c r="R35" i="10"/>
  <c r="S35" i="10"/>
  <c r="T35" i="10"/>
  <c r="U35" i="10"/>
  <c r="V35" i="10"/>
  <c r="W35" i="10"/>
  <c r="X35" i="10"/>
  <c r="Y35" i="10"/>
  <c r="N36" i="10"/>
  <c r="O36" i="10"/>
  <c r="P36" i="10"/>
  <c r="Q36" i="10"/>
  <c r="R36" i="10"/>
  <c r="S36" i="10"/>
  <c r="T36" i="10"/>
  <c r="U36" i="10"/>
  <c r="V36" i="10"/>
  <c r="W36" i="10"/>
  <c r="X36" i="10"/>
  <c r="Y36" i="10"/>
  <c r="N37" i="10"/>
  <c r="O37" i="10"/>
  <c r="P37" i="10"/>
  <c r="Q37" i="10"/>
  <c r="R37" i="10"/>
  <c r="S37" i="10"/>
  <c r="T37" i="10"/>
  <c r="U37" i="10"/>
  <c r="V37" i="10"/>
  <c r="W37" i="10"/>
  <c r="X37" i="10"/>
  <c r="Y37" i="10"/>
  <c r="N38" i="10"/>
  <c r="O38" i="10"/>
  <c r="P38" i="10"/>
  <c r="Q38" i="10"/>
  <c r="R38" i="10"/>
  <c r="S38" i="10"/>
  <c r="T38" i="10"/>
  <c r="U38" i="10"/>
  <c r="V38" i="10"/>
  <c r="W38" i="10"/>
  <c r="X38" i="10"/>
  <c r="Y38" i="10"/>
  <c r="N39" i="10"/>
  <c r="O39" i="10"/>
  <c r="P39" i="10"/>
  <c r="Q39" i="10"/>
  <c r="R39" i="10"/>
  <c r="S39" i="10"/>
  <c r="T39" i="10"/>
  <c r="U39" i="10"/>
  <c r="V39" i="10"/>
  <c r="W39" i="10"/>
  <c r="X39" i="10"/>
  <c r="Y39" i="10"/>
  <c r="N40" i="10"/>
  <c r="O40" i="10"/>
  <c r="P40" i="10"/>
  <c r="Q40" i="10"/>
  <c r="R40" i="10"/>
  <c r="S40" i="10"/>
  <c r="T40" i="10"/>
  <c r="U40" i="10"/>
  <c r="V40" i="10"/>
  <c r="W40" i="10"/>
  <c r="X40" i="10"/>
  <c r="Y40" i="10"/>
  <c r="Z34" i="10" l="1"/>
  <c r="Z37" i="10"/>
  <c r="Z38" i="10"/>
  <c r="Z28" i="10"/>
  <c r="Z35" i="10"/>
  <c r="Z23" i="10"/>
  <c r="Z29" i="10"/>
  <c r="Z31" i="10"/>
  <c r="Z36" i="10"/>
  <c r="Z24" i="10"/>
  <c r="Z39" i="10"/>
  <c r="Z33" i="10"/>
  <c r="Z25" i="10"/>
  <c r="Z26" i="10"/>
  <c r="Z40" i="10"/>
  <c r="Z30" i="10"/>
  <c r="Z27" i="10"/>
  <c r="Z32" i="10"/>
  <c r="AA35" i="10"/>
  <c r="Y22" i="10"/>
  <c r="X22" i="10"/>
  <c r="W22" i="10"/>
  <c r="V22" i="10"/>
  <c r="U22" i="10"/>
  <c r="T22" i="10"/>
  <c r="S22" i="10"/>
  <c r="R22" i="10"/>
  <c r="Q22" i="10"/>
  <c r="P22" i="10"/>
  <c r="O22" i="10"/>
  <c r="N22" i="10"/>
  <c r="Y21" i="10"/>
  <c r="X21" i="10"/>
  <c r="W21" i="10"/>
  <c r="V21" i="10"/>
  <c r="U21" i="10"/>
  <c r="T21" i="10"/>
  <c r="S21" i="10"/>
  <c r="R21" i="10"/>
  <c r="Q21" i="10"/>
  <c r="P21" i="10"/>
  <c r="O21" i="10"/>
  <c r="N21" i="10"/>
  <c r="Y20" i="10"/>
  <c r="X20" i="10"/>
  <c r="W20" i="10"/>
  <c r="V20" i="10"/>
  <c r="U20" i="10"/>
  <c r="T20" i="10"/>
  <c r="S20" i="10"/>
  <c r="R20" i="10"/>
  <c r="Q20" i="10"/>
  <c r="P20" i="10"/>
  <c r="O20" i="10"/>
  <c r="N20" i="10"/>
  <c r="Y19" i="10"/>
  <c r="X19" i="10"/>
  <c r="W19" i="10"/>
  <c r="V19" i="10"/>
  <c r="U19" i="10"/>
  <c r="T19" i="10"/>
  <c r="S19" i="10"/>
  <c r="R19" i="10"/>
  <c r="Q19" i="10"/>
  <c r="P19" i="10"/>
  <c r="O19" i="10"/>
  <c r="N19" i="10"/>
  <c r="Y18" i="10"/>
  <c r="X18" i="10"/>
  <c r="W18" i="10"/>
  <c r="V18" i="10"/>
  <c r="U18" i="10"/>
  <c r="T18" i="10"/>
  <c r="S18" i="10"/>
  <c r="R18" i="10"/>
  <c r="Q18" i="10"/>
  <c r="P18" i="10"/>
  <c r="O18" i="10"/>
  <c r="N18" i="10"/>
  <c r="Y17" i="10"/>
  <c r="X17" i="10"/>
  <c r="W17" i="10"/>
  <c r="V17" i="10"/>
  <c r="U17" i="10"/>
  <c r="T17" i="10"/>
  <c r="S17" i="10"/>
  <c r="R17" i="10"/>
  <c r="Q17" i="10"/>
  <c r="P17" i="10"/>
  <c r="O17" i="10"/>
  <c r="N17" i="10"/>
  <c r="Y16" i="10"/>
  <c r="X16" i="10"/>
  <c r="W16" i="10"/>
  <c r="V16" i="10"/>
  <c r="U16" i="10"/>
  <c r="T16" i="10"/>
  <c r="S16" i="10"/>
  <c r="R16" i="10"/>
  <c r="Q16" i="10"/>
  <c r="P16" i="10"/>
  <c r="O16" i="10"/>
  <c r="N16" i="10"/>
  <c r="Y15" i="10"/>
  <c r="X15" i="10"/>
  <c r="W15" i="10"/>
  <c r="V15" i="10"/>
  <c r="U15" i="10"/>
  <c r="T15" i="10"/>
  <c r="S15" i="10"/>
  <c r="R15" i="10"/>
  <c r="Q15" i="10"/>
  <c r="P15" i="10"/>
  <c r="O15" i="10"/>
  <c r="N15" i="10"/>
  <c r="Y14" i="10"/>
  <c r="X14" i="10"/>
  <c r="W14" i="10"/>
  <c r="V14" i="10"/>
  <c r="U14" i="10"/>
  <c r="T14" i="10"/>
  <c r="S14" i="10"/>
  <c r="R14" i="10"/>
  <c r="Q14" i="10"/>
  <c r="P14" i="10"/>
  <c r="O14" i="10"/>
  <c r="N14" i="10"/>
  <c r="Y13" i="10"/>
  <c r="X13" i="10"/>
  <c r="W13" i="10"/>
  <c r="V13" i="10"/>
  <c r="U13" i="10"/>
  <c r="T13" i="10"/>
  <c r="S13" i="10"/>
  <c r="R13" i="10"/>
  <c r="Q13" i="10"/>
  <c r="P13" i="10"/>
  <c r="O13" i="10"/>
  <c r="N13" i="10"/>
  <c r="Y12" i="10"/>
  <c r="X12" i="10"/>
  <c r="W12" i="10"/>
  <c r="V12" i="10"/>
  <c r="U12" i="10"/>
  <c r="T12" i="10"/>
  <c r="S12" i="10"/>
  <c r="R12" i="10"/>
  <c r="Q12" i="10"/>
  <c r="P12" i="10"/>
  <c r="O12" i="10"/>
  <c r="N12" i="10"/>
  <c r="Y11" i="10"/>
  <c r="X11" i="10"/>
  <c r="W11" i="10"/>
  <c r="V11" i="10"/>
  <c r="U11" i="10"/>
  <c r="T11" i="10"/>
  <c r="S11" i="10"/>
  <c r="R11" i="10"/>
  <c r="Q11" i="10"/>
  <c r="P11" i="10"/>
  <c r="O11" i="10"/>
  <c r="N11" i="10"/>
  <c r="Y10" i="10"/>
  <c r="X10" i="10"/>
  <c r="W10" i="10"/>
  <c r="V10" i="10"/>
  <c r="U10" i="10"/>
  <c r="T10" i="10"/>
  <c r="S10" i="10"/>
  <c r="R10" i="10"/>
  <c r="Q10" i="10"/>
  <c r="P10" i="10"/>
  <c r="O10" i="10"/>
  <c r="N10" i="10"/>
  <c r="Y9" i="10"/>
  <c r="X9" i="10"/>
  <c r="W9" i="10"/>
  <c r="V9" i="10"/>
  <c r="U9" i="10"/>
  <c r="T9" i="10"/>
  <c r="S9" i="10"/>
  <c r="R9" i="10"/>
  <c r="Q9" i="10"/>
  <c r="P9" i="10"/>
  <c r="O9" i="10"/>
  <c r="N9" i="10"/>
  <c r="Y8" i="10"/>
  <c r="X8" i="10"/>
  <c r="W8" i="10"/>
  <c r="V8" i="10"/>
  <c r="U8" i="10"/>
  <c r="T8" i="10"/>
  <c r="S8" i="10"/>
  <c r="R8" i="10"/>
  <c r="Q8" i="10"/>
  <c r="P8" i="10"/>
  <c r="O8" i="10"/>
  <c r="N8" i="10"/>
  <c r="Y7" i="10"/>
  <c r="X7" i="10"/>
  <c r="W7" i="10"/>
  <c r="V7" i="10"/>
  <c r="U7" i="10"/>
  <c r="T7" i="10"/>
  <c r="S7" i="10"/>
  <c r="R7" i="10"/>
  <c r="Q7" i="10"/>
  <c r="P7" i="10"/>
  <c r="O7" i="10"/>
  <c r="N7" i="10"/>
  <c r="Y6" i="10"/>
  <c r="X6" i="10"/>
  <c r="W6" i="10"/>
  <c r="V6" i="10"/>
  <c r="U6" i="10"/>
  <c r="T6" i="10"/>
  <c r="S6" i="10"/>
  <c r="R6" i="10"/>
  <c r="Q6" i="10"/>
  <c r="P6" i="10"/>
  <c r="O6" i="10"/>
  <c r="N6" i="10"/>
  <c r="Y5" i="10"/>
  <c r="X5" i="10"/>
  <c r="W5" i="10"/>
  <c r="V5" i="10"/>
  <c r="U5" i="10"/>
  <c r="T5" i="10"/>
  <c r="S5" i="10"/>
  <c r="R5" i="10"/>
  <c r="Q5" i="10"/>
  <c r="P5" i="10"/>
  <c r="O5" i="10"/>
  <c r="N5" i="10"/>
  <c r="Y4" i="10"/>
  <c r="X4" i="10"/>
  <c r="W4" i="10"/>
  <c r="V4" i="10"/>
  <c r="U4" i="10"/>
  <c r="T4" i="10"/>
  <c r="S4" i="10"/>
  <c r="R4" i="10"/>
  <c r="Q4" i="10"/>
  <c r="P4" i="10"/>
  <c r="O4" i="10"/>
  <c r="N4" i="10"/>
  <c r="Y3" i="10"/>
  <c r="X3" i="10"/>
  <c r="W3" i="10"/>
  <c r="V3" i="10"/>
  <c r="U3" i="10"/>
  <c r="T3" i="10"/>
  <c r="S3" i="10"/>
  <c r="R3" i="10"/>
  <c r="Q3" i="10"/>
  <c r="P3" i="10"/>
  <c r="O3" i="10"/>
  <c r="N3" i="10"/>
  <c r="Y2" i="10"/>
  <c r="X2" i="10"/>
  <c r="W2" i="10"/>
  <c r="V2" i="10"/>
  <c r="U2" i="10"/>
  <c r="T2" i="10"/>
  <c r="S2" i="10"/>
  <c r="R2" i="10"/>
  <c r="Q2" i="10"/>
  <c r="P2" i="10"/>
  <c r="O2" i="10"/>
  <c r="N2" i="10"/>
  <c r="AA35" i="9"/>
  <c r="AA26" i="10" l="1"/>
  <c r="AA30" i="10"/>
  <c r="Z10" i="10"/>
  <c r="AA10" i="10" s="1"/>
  <c r="AA33" i="10"/>
  <c r="AA25" i="10"/>
  <c r="AA29" i="10"/>
  <c r="AA24" i="10"/>
  <c r="Z3" i="10"/>
  <c r="AA3" i="10" s="1"/>
  <c r="Z18" i="10"/>
  <c r="AA18" i="10" s="1"/>
  <c r="AA39" i="10"/>
  <c r="AA36" i="10"/>
  <c r="AA31" i="10"/>
  <c r="AA27" i="10"/>
  <c r="AA2" i="10"/>
  <c r="Z17" i="10"/>
  <c r="AA17" i="10" s="1"/>
  <c r="Z7" i="10"/>
  <c r="AA7" i="10" s="1"/>
  <c r="Z8" i="10"/>
  <c r="AA8" i="10" s="1"/>
  <c r="Z16" i="10"/>
  <c r="AA16" i="10" s="1"/>
  <c r="Z6" i="10"/>
  <c r="AA6" i="10" s="1"/>
  <c r="Z21" i="10"/>
  <c r="AA21" i="10" s="1"/>
  <c r="AA38" i="10"/>
  <c r="Z22" i="10"/>
  <c r="AA22" i="10" s="1"/>
  <c r="Z14" i="10"/>
  <c r="AA14" i="10" s="1"/>
  <c r="Z13" i="10"/>
  <c r="AA13" i="10" s="1"/>
  <c r="Z15" i="10"/>
  <c r="AA15" i="10" s="1"/>
  <c r="Z20" i="10"/>
  <c r="AA20" i="10" s="1"/>
  <c r="AA23" i="10"/>
  <c r="Z5" i="10"/>
  <c r="AA5" i="10" s="1"/>
  <c r="Z9" i="10"/>
  <c r="AA9" i="10" s="1"/>
  <c r="Z4" i="10"/>
  <c r="AA4" i="10" s="1"/>
  <c r="Z12" i="10"/>
  <c r="AA12" i="10" s="1"/>
  <c r="AA37" i="10"/>
  <c r="AA34" i="10"/>
  <c r="Z11" i="10"/>
  <c r="AA11" i="10" s="1"/>
  <c r="Z19" i="10"/>
  <c r="AA19" i="10" s="1"/>
  <c r="AA32" i="10"/>
  <c r="AA28" i="10"/>
  <c r="O3" i="9"/>
  <c r="P3" i="9"/>
  <c r="Q3" i="9"/>
  <c r="R3" i="9"/>
  <c r="S3" i="9"/>
  <c r="T3" i="9"/>
  <c r="U3" i="9"/>
  <c r="V3" i="9"/>
  <c r="W3" i="9"/>
  <c r="X3" i="9"/>
  <c r="Y3" i="9"/>
  <c r="Z3" i="9"/>
  <c r="O4" i="9"/>
  <c r="P4" i="9"/>
  <c r="Q4" i="9"/>
  <c r="R4" i="9"/>
  <c r="S4" i="9"/>
  <c r="T4" i="9"/>
  <c r="U4" i="9"/>
  <c r="V4" i="9"/>
  <c r="W4" i="9"/>
  <c r="X4" i="9"/>
  <c r="Y4" i="9"/>
  <c r="Z4" i="9"/>
  <c r="O5" i="9"/>
  <c r="P5" i="9"/>
  <c r="Q5" i="9"/>
  <c r="R5" i="9"/>
  <c r="S5" i="9"/>
  <c r="T5" i="9"/>
  <c r="U5" i="9"/>
  <c r="V5" i="9"/>
  <c r="W5" i="9"/>
  <c r="X5" i="9"/>
  <c r="Y5" i="9"/>
  <c r="Z5" i="9"/>
  <c r="O6" i="9"/>
  <c r="P6" i="9"/>
  <c r="Q6" i="9"/>
  <c r="R6" i="9"/>
  <c r="S6" i="9"/>
  <c r="T6" i="9"/>
  <c r="U6" i="9"/>
  <c r="V6" i="9"/>
  <c r="W6" i="9"/>
  <c r="X6" i="9"/>
  <c r="Y6" i="9"/>
  <c r="Z6" i="9"/>
  <c r="O7" i="9"/>
  <c r="P7" i="9"/>
  <c r="Q7" i="9"/>
  <c r="R7" i="9"/>
  <c r="S7" i="9"/>
  <c r="T7" i="9"/>
  <c r="U7" i="9"/>
  <c r="V7" i="9"/>
  <c r="W7" i="9"/>
  <c r="X7" i="9"/>
  <c r="Y7" i="9"/>
  <c r="Z7" i="9"/>
  <c r="O8" i="9"/>
  <c r="P8" i="9"/>
  <c r="Q8" i="9"/>
  <c r="R8" i="9"/>
  <c r="S8" i="9"/>
  <c r="T8" i="9"/>
  <c r="U8" i="9"/>
  <c r="V8" i="9"/>
  <c r="W8" i="9"/>
  <c r="X8" i="9"/>
  <c r="Y8" i="9"/>
  <c r="Z8" i="9"/>
  <c r="O9" i="9"/>
  <c r="P9" i="9"/>
  <c r="Q9" i="9"/>
  <c r="R9" i="9"/>
  <c r="S9" i="9"/>
  <c r="T9" i="9"/>
  <c r="U9" i="9"/>
  <c r="V9" i="9"/>
  <c r="W9" i="9"/>
  <c r="X9" i="9"/>
  <c r="Y9" i="9"/>
  <c r="Z9" i="9"/>
  <c r="O10" i="9"/>
  <c r="P10" i="9"/>
  <c r="Q10" i="9"/>
  <c r="R10" i="9"/>
  <c r="S10" i="9"/>
  <c r="T10" i="9"/>
  <c r="U10" i="9"/>
  <c r="V10" i="9"/>
  <c r="W10" i="9"/>
  <c r="X10" i="9"/>
  <c r="Y10" i="9"/>
  <c r="Z10" i="9"/>
  <c r="O11" i="9"/>
  <c r="P11" i="9"/>
  <c r="Q11" i="9"/>
  <c r="R11" i="9"/>
  <c r="S11" i="9"/>
  <c r="T11" i="9"/>
  <c r="U11" i="9"/>
  <c r="V11" i="9"/>
  <c r="W11" i="9"/>
  <c r="X11" i="9"/>
  <c r="Y11" i="9"/>
  <c r="Z11" i="9"/>
  <c r="O12" i="9"/>
  <c r="P12" i="9"/>
  <c r="Q12" i="9"/>
  <c r="R12" i="9"/>
  <c r="S12" i="9"/>
  <c r="T12" i="9"/>
  <c r="U12" i="9"/>
  <c r="V12" i="9"/>
  <c r="W12" i="9"/>
  <c r="X12" i="9"/>
  <c r="Y12" i="9"/>
  <c r="Z12" i="9"/>
  <c r="O13" i="9"/>
  <c r="P13" i="9"/>
  <c r="Q13" i="9"/>
  <c r="R13" i="9"/>
  <c r="S13" i="9"/>
  <c r="T13" i="9"/>
  <c r="U13" i="9"/>
  <c r="V13" i="9"/>
  <c r="W13" i="9"/>
  <c r="X13" i="9"/>
  <c r="Y13" i="9"/>
  <c r="Z13" i="9"/>
  <c r="O14" i="9"/>
  <c r="P14" i="9"/>
  <c r="Q14" i="9"/>
  <c r="R14" i="9"/>
  <c r="S14" i="9"/>
  <c r="T14" i="9"/>
  <c r="U14" i="9"/>
  <c r="V14" i="9"/>
  <c r="W14" i="9"/>
  <c r="X14" i="9"/>
  <c r="Y14" i="9"/>
  <c r="Z14" i="9"/>
  <c r="O15" i="9"/>
  <c r="P15" i="9"/>
  <c r="Q15" i="9"/>
  <c r="R15" i="9"/>
  <c r="S15" i="9"/>
  <c r="T15" i="9"/>
  <c r="U15" i="9"/>
  <c r="V15" i="9"/>
  <c r="W15" i="9"/>
  <c r="X15" i="9"/>
  <c r="Y15" i="9"/>
  <c r="Z15" i="9"/>
  <c r="O16" i="9"/>
  <c r="P16" i="9"/>
  <c r="Q16" i="9"/>
  <c r="R16" i="9"/>
  <c r="S16" i="9"/>
  <c r="T16" i="9"/>
  <c r="U16" i="9"/>
  <c r="V16" i="9"/>
  <c r="W16" i="9"/>
  <c r="X16" i="9"/>
  <c r="Y16" i="9"/>
  <c r="Z16" i="9"/>
  <c r="O17" i="9"/>
  <c r="P17" i="9"/>
  <c r="Q17" i="9"/>
  <c r="R17" i="9"/>
  <c r="S17" i="9"/>
  <c r="T17" i="9"/>
  <c r="U17" i="9"/>
  <c r="V17" i="9"/>
  <c r="W17" i="9"/>
  <c r="X17" i="9"/>
  <c r="Y17" i="9"/>
  <c r="Z17" i="9"/>
  <c r="O18" i="9"/>
  <c r="P18" i="9"/>
  <c r="Q18" i="9"/>
  <c r="R18" i="9"/>
  <c r="S18" i="9"/>
  <c r="T18" i="9"/>
  <c r="U18" i="9"/>
  <c r="V18" i="9"/>
  <c r="W18" i="9"/>
  <c r="X18" i="9"/>
  <c r="Y18" i="9"/>
  <c r="Z18" i="9"/>
  <c r="O19" i="9"/>
  <c r="P19" i="9"/>
  <c r="Q19" i="9"/>
  <c r="R19" i="9"/>
  <c r="S19" i="9"/>
  <c r="T19" i="9"/>
  <c r="U19" i="9"/>
  <c r="V19" i="9"/>
  <c r="W19" i="9"/>
  <c r="X19" i="9"/>
  <c r="Y19" i="9"/>
  <c r="Z19" i="9"/>
  <c r="O20" i="9"/>
  <c r="P20" i="9"/>
  <c r="Q20" i="9"/>
  <c r="R20" i="9"/>
  <c r="S20" i="9"/>
  <c r="T20" i="9"/>
  <c r="U20" i="9"/>
  <c r="V20" i="9"/>
  <c r="W20" i="9"/>
  <c r="X20" i="9"/>
  <c r="Y20" i="9"/>
  <c r="Z20" i="9"/>
  <c r="O21" i="9"/>
  <c r="P21" i="9"/>
  <c r="Q21" i="9"/>
  <c r="R21" i="9"/>
  <c r="S21" i="9"/>
  <c r="T21" i="9"/>
  <c r="U21" i="9"/>
  <c r="V21" i="9"/>
  <c r="W21" i="9"/>
  <c r="X21" i="9"/>
  <c r="Y21" i="9"/>
  <c r="Z21" i="9"/>
  <c r="O22" i="9"/>
  <c r="P22" i="9"/>
  <c r="Q22" i="9"/>
  <c r="R22" i="9"/>
  <c r="S22" i="9"/>
  <c r="T22" i="9"/>
  <c r="U22" i="9"/>
  <c r="V22" i="9"/>
  <c r="W22" i="9"/>
  <c r="X22" i="9"/>
  <c r="Y22" i="9"/>
  <c r="Z22" i="9"/>
  <c r="O23" i="9"/>
  <c r="P23" i="9"/>
  <c r="Q23" i="9"/>
  <c r="R23" i="9"/>
  <c r="S23" i="9"/>
  <c r="T23" i="9"/>
  <c r="U23" i="9"/>
  <c r="V23" i="9"/>
  <c r="W23" i="9"/>
  <c r="X23" i="9"/>
  <c r="Y23" i="9"/>
  <c r="Z23" i="9"/>
  <c r="O24" i="9"/>
  <c r="P24" i="9"/>
  <c r="Q24" i="9"/>
  <c r="R24" i="9"/>
  <c r="S24" i="9"/>
  <c r="T24" i="9"/>
  <c r="U24" i="9"/>
  <c r="V24" i="9"/>
  <c r="W24" i="9"/>
  <c r="X24" i="9"/>
  <c r="Y24" i="9"/>
  <c r="Z24" i="9"/>
  <c r="O25" i="9"/>
  <c r="P25" i="9"/>
  <c r="Q25" i="9"/>
  <c r="R25" i="9"/>
  <c r="S25" i="9"/>
  <c r="T25" i="9"/>
  <c r="U25" i="9"/>
  <c r="V25" i="9"/>
  <c r="W25" i="9"/>
  <c r="X25" i="9"/>
  <c r="Y25" i="9"/>
  <c r="Z25" i="9"/>
  <c r="O26" i="9"/>
  <c r="P26" i="9"/>
  <c r="Q26" i="9"/>
  <c r="R26" i="9"/>
  <c r="S26" i="9"/>
  <c r="T26" i="9"/>
  <c r="U26" i="9"/>
  <c r="V26" i="9"/>
  <c r="W26" i="9"/>
  <c r="X26" i="9"/>
  <c r="Y26" i="9"/>
  <c r="Z26" i="9"/>
  <c r="O27" i="9"/>
  <c r="P27" i="9"/>
  <c r="Q27" i="9"/>
  <c r="R27" i="9"/>
  <c r="S27" i="9"/>
  <c r="T27" i="9"/>
  <c r="U27" i="9"/>
  <c r="V27" i="9"/>
  <c r="W27" i="9"/>
  <c r="X27" i="9"/>
  <c r="Y27" i="9"/>
  <c r="Z27" i="9"/>
  <c r="O28" i="9"/>
  <c r="P28" i="9"/>
  <c r="Q28" i="9"/>
  <c r="R28" i="9"/>
  <c r="S28" i="9"/>
  <c r="T28" i="9"/>
  <c r="U28" i="9"/>
  <c r="V28" i="9"/>
  <c r="W28" i="9"/>
  <c r="X28" i="9"/>
  <c r="Y28" i="9"/>
  <c r="Z28" i="9"/>
  <c r="O29" i="9"/>
  <c r="P29" i="9"/>
  <c r="Q29" i="9"/>
  <c r="R29" i="9"/>
  <c r="S29" i="9"/>
  <c r="T29" i="9"/>
  <c r="U29" i="9"/>
  <c r="V29" i="9"/>
  <c r="W29" i="9"/>
  <c r="X29" i="9"/>
  <c r="Y29" i="9"/>
  <c r="Z29" i="9"/>
  <c r="O30" i="9"/>
  <c r="P30" i="9"/>
  <c r="Q30" i="9"/>
  <c r="R30" i="9"/>
  <c r="S30" i="9"/>
  <c r="T30" i="9"/>
  <c r="U30" i="9"/>
  <c r="V30" i="9"/>
  <c r="W30" i="9"/>
  <c r="X30" i="9"/>
  <c r="Y30" i="9"/>
  <c r="Z30" i="9"/>
  <c r="O31" i="9"/>
  <c r="P31" i="9"/>
  <c r="Q31" i="9"/>
  <c r="R31" i="9"/>
  <c r="S31" i="9"/>
  <c r="T31" i="9"/>
  <c r="U31" i="9"/>
  <c r="V31" i="9"/>
  <c r="W31" i="9"/>
  <c r="X31" i="9"/>
  <c r="Y31" i="9"/>
  <c r="Z31" i="9"/>
  <c r="O32" i="9"/>
  <c r="P32" i="9"/>
  <c r="Q32" i="9"/>
  <c r="R32" i="9"/>
  <c r="S32" i="9"/>
  <c r="T32" i="9"/>
  <c r="U32" i="9"/>
  <c r="V32" i="9"/>
  <c r="W32" i="9"/>
  <c r="X32" i="9"/>
  <c r="Y32" i="9"/>
  <c r="Z32" i="9"/>
  <c r="O33" i="9"/>
  <c r="P33" i="9"/>
  <c r="Q33" i="9"/>
  <c r="R33" i="9"/>
  <c r="S33" i="9"/>
  <c r="T33" i="9"/>
  <c r="U33" i="9"/>
  <c r="V33" i="9"/>
  <c r="W33" i="9"/>
  <c r="X33" i="9"/>
  <c r="Y33" i="9"/>
  <c r="Z33" i="9"/>
  <c r="Z2" i="9"/>
  <c r="P2" i="9"/>
  <c r="Q2" i="9"/>
  <c r="R2" i="9"/>
  <c r="S2" i="9"/>
  <c r="T2" i="9"/>
  <c r="U2" i="9"/>
  <c r="V2" i="9"/>
  <c r="W2" i="9"/>
  <c r="X2" i="9"/>
  <c r="Y2" i="9"/>
  <c r="AA5" i="9" l="1"/>
  <c r="AB5" i="9" s="1"/>
  <c r="AA21" i="9"/>
  <c r="AB21" i="9" s="1"/>
  <c r="AA19" i="9"/>
  <c r="AB19" i="9" s="1"/>
  <c r="AA30" i="9"/>
  <c r="AB30" i="9" s="1"/>
  <c r="AA25" i="9"/>
  <c r="AB25" i="9" s="1"/>
  <c r="AA29" i="9"/>
  <c r="AB29" i="9" s="1"/>
  <c r="AA13" i="9"/>
  <c r="AB13" i="9" s="1"/>
  <c r="AA27" i="9"/>
  <c r="AB27" i="9" s="1"/>
  <c r="AA6" i="9"/>
  <c r="AB6" i="9" s="1"/>
  <c r="AA26" i="9"/>
  <c r="AB26" i="9" s="1"/>
  <c r="AA32" i="9"/>
  <c r="AB32" i="9" s="1"/>
  <c r="AA11" i="9"/>
  <c r="AB11" i="9" s="1"/>
  <c r="AA9" i="9"/>
  <c r="AB9" i="9" s="1"/>
  <c r="AA15" i="9"/>
  <c r="AB15" i="9" s="1"/>
  <c r="AA8" i="9"/>
  <c r="AB8" i="9" s="1"/>
  <c r="AA17" i="9"/>
  <c r="AB17" i="9" s="1"/>
  <c r="AA14" i="9"/>
  <c r="AB14" i="9" s="1"/>
  <c r="AB2" i="9"/>
  <c r="AA28" i="9"/>
  <c r="AB28" i="9" s="1"/>
  <c r="AA23" i="9"/>
  <c r="AB23" i="9" s="1"/>
  <c r="AA18" i="9"/>
  <c r="AB18" i="9" s="1"/>
  <c r="AA16" i="9"/>
  <c r="AB16" i="9" s="1"/>
  <c r="AA12" i="9"/>
  <c r="AB12" i="9" s="1"/>
  <c r="AA7" i="9"/>
  <c r="AB7" i="9" s="1"/>
  <c r="AA3" i="9"/>
  <c r="AB3" i="9" s="1"/>
  <c r="AA31" i="9"/>
  <c r="AB31" i="9" s="1"/>
  <c r="AA10" i="9"/>
  <c r="AB10" i="9" s="1"/>
  <c r="AA24" i="9"/>
  <c r="AB24" i="9" s="1"/>
  <c r="AA22" i="9"/>
  <c r="AB22" i="9" s="1"/>
  <c r="AA20" i="9"/>
  <c r="AB20" i="9" s="1"/>
  <c r="AA4" i="9"/>
  <c r="AB4" i="9" s="1"/>
</calcChain>
</file>

<file path=xl/sharedStrings.xml><?xml version="1.0" encoding="utf-8"?>
<sst xmlns="http://schemas.openxmlformats.org/spreadsheetml/2006/main" count="589" uniqueCount="514">
  <si>
    <t>Abrasives</t>
  </si>
  <si>
    <t>Adhesive</t>
  </si>
  <si>
    <t>Automatic size adjustment</t>
  </si>
  <si>
    <t>Automatic solution/black box</t>
  </si>
  <si>
    <t>Blade - cut end</t>
  </si>
  <si>
    <t>Blade - on side</t>
  </si>
  <si>
    <t>Brushes</t>
  </si>
  <si>
    <t>Chemicals</t>
  </si>
  <si>
    <t>Eating</t>
  </si>
  <si>
    <t>Electricity</t>
  </si>
  <si>
    <t>Embrittle husk</t>
  </si>
  <si>
    <t>Entanglement</t>
  </si>
  <si>
    <t>Filter</t>
  </si>
  <si>
    <t>Impact</t>
  </si>
  <si>
    <t>Magnets</t>
  </si>
  <si>
    <t>Manual clamp</t>
  </si>
  <si>
    <t>Moving fluid (air &amp; water)</t>
  </si>
  <si>
    <t>Perforate</t>
  </si>
  <si>
    <t>Robotic hands</t>
  </si>
  <si>
    <t>Rollers</t>
  </si>
  <si>
    <t>Scraper</t>
  </si>
  <si>
    <t>Series of mesh wires</t>
  </si>
  <si>
    <t>Slit plates</t>
  </si>
  <si>
    <t>Soften husk</t>
  </si>
  <si>
    <t>Sorter</t>
  </si>
  <si>
    <t>Torsion</t>
  </si>
  <si>
    <t>Vibration</t>
  </si>
  <si>
    <t>Visual sensor</t>
  </si>
  <si>
    <t xml:space="preserve">Solution uses abrasive substance or texturing to grind away husk and silk. </t>
  </si>
  <si>
    <t>The solution is designed to automatically adjust to the size of the corn through an active or passive mechanism. (e.g. spring loaded parts, feedback control). Solutions that must be manually adjusted do not count.</t>
  </si>
  <si>
    <t xml:space="preserve">Solutions that remove the husk without any specifed removal mechanism. Examples include ray-guns, ill-defined robots, "magic", and modified cotton gins. </t>
  </si>
  <si>
    <t>Solution uses a blade to cut off the end of corn</t>
  </si>
  <si>
    <t>Solution uses blades to cut along the side of fron</t>
  </si>
  <si>
    <t>Solution uses a brush-like tool to remove the husk or silk. Brushes are characterized by multiple bristles or "fingers" that are flexible</t>
  </si>
  <si>
    <t>Solution uses some chemical to disolve, weaken, or otherwise aid in the removal of the husk or silk. Pure water is generally not counted in this bin.</t>
  </si>
  <si>
    <t>Solution moves corn through a helical track to remove husk and silk. Looks like the flutes of a drill bit.</t>
  </si>
  <si>
    <t>Solution uses organisms (micro or macro) to eat and digest part or all of the corn. This bin can included artificial "organisms" such as nano-scale robots when their actions are characterized as eating.</t>
  </si>
  <si>
    <t>Solution employs static electricity or electric current remove the husk or silk. Using electricity to power a motor or other device does not qualify.</t>
  </si>
  <si>
    <t>Solution causes husk to become brittle (usually through freezing or dessication) to allow it to be cracked or shattered.</t>
  </si>
  <si>
    <t xml:space="preserve">Solution causes the husk or silk to become tangled in some sort of barb, hook, etc. so that it can be pulled away. Brush type solutions are not included. </t>
  </si>
  <si>
    <t>Solution uses a filter to separate the husk or silk mixed with - usually loose kernels or water</t>
  </si>
  <si>
    <t>Solution requires a high-velocity impact to remove the husk and silk, or to cause the kernels to fall out of the ear</t>
  </si>
  <si>
    <t>Solution uses some form of magnetic field to remove the husk. Often the husk is treated to become magnetic.</t>
  </si>
  <si>
    <t>Solution uses a clamp-like device to secure the corn or to grab the husk or silk. Robotic manipulators do not fall in this category</t>
  </si>
  <si>
    <t>Solution uses a stream of fluid (liquid or gas) to blow, spray, or wash the husk and silk away. Common inplementations include air/water jets and agitated bodies of water (e.g. a clothes washer configuration)</t>
  </si>
  <si>
    <t>Solution pierces the husk or silk with a series of closely spaced, small holes to allow the husk to be torn away easily.</t>
  </si>
  <si>
    <t>Solution uses some arrangement of robotic manipulators to shuck corn, usually imitating manual shucking processes</t>
  </si>
  <si>
    <t>Solution uses a smooth roller to remove the husk and silk. Solutions must  rely on the friction of the roller rather than some surfaces feature(s) such as bristles or spikes</t>
  </si>
  <si>
    <t>High-Speed Rotation/Centrifuge</t>
  </si>
  <si>
    <t>Solution forces whole corn through a wire mesh which cuts or scrapes away the husk and silk</t>
  </si>
  <si>
    <t>Solution uses plates with small slits to trap husk and silk and pull or shear it away. Similar to some electric razor heads.</t>
  </si>
  <si>
    <t>Solution causes husk to become softer to allow easier shucking. Usually this is accomplished through soaking or humidification.</t>
  </si>
  <si>
    <t>Solution employs a device designed to sort corn for processing, usually by size.</t>
  </si>
  <si>
    <t>Solution places corn in torsion to tear away the husk an silk. Action is simlar to wringing out a towel.</t>
  </si>
  <si>
    <t>Solution uses vibrations to remove the husk and silk (e.g. "natural frequencies") or to separate corn kernels from a mixture.</t>
  </si>
  <si>
    <t>Solution employs a sensor to detect the state of the corn. Typically size or quality of shucking is measured.</t>
  </si>
  <si>
    <t>Bin Name</t>
  </si>
  <si>
    <t>Description</t>
  </si>
  <si>
    <t>Solution uses an adhesive or "sticky sustance" to bind to the husk or silk and pull it away. Simple "high friction" surfaces are excluded and should be grouped according to their removal mechanism (usually scraping or brushing).</t>
  </si>
  <si>
    <t>Solution spins corn very quickly to fling away husk and silk. Slow rotation used to augent other removal processes is not included</t>
  </si>
  <si>
    <t>Solution uses an implement to scrape away husk and silk. The implement is typically flexible and is not segemented like a brush. Common shapes include paddles, pads, and rings; high friction materials are often specified to improve scraping action.</t>
  </si>
  <si>
    <r>
      <t>Drill</t>
    </r>
    <r>
      <rPr>
        <sz val="12"/>
        <color theme="1"/>
        <rFont val="Calibri"/>
        <family val="2"/>
        <scheme val="minor"/>
      </rPr>
      <t xml:space="preserve"> Flutes</t>
    </r>
  </si>
  <si>
    <t>Spotlight</t>
  </si>
  <si>
    <t>Wearable Vibrator</t>
  </si>
  <si>
    <t>Wearable Sprayer</t>
  </si>
  <si>
    <t>Directed Sound</t>
  </si>
  <si>
    <t>Wearable Lights (glasses, bracelet, etc.)</t>
  </si>
  <si>
    <t>Standalone Vibrator</t>
  </si>
  <si>
    <t>Water Sprayer</t>
  </si>
  <si>
    <t>Constricting Band</t>
  </si>
  <si>
    <t>Noise Cancellation</t>
  </si>
  <si>
    <t>Electrocution</t>
  </si>
  <si>
    <t>Scents</t>
  </si>
  <si>
    <t>Winds</t>
  </si>
  <si>
    <t>REM Cycle</t>
  </si>
  <si>
    <t>Temperature</t>
  </si>
  <si>
    <t>Sunlight</t>
  </si>
  <si>
    <t>Flavor Capsule</t>
  </si>
  <si>
    <t>Tickling</t>
  </si>
  <si>
    <t>Restrict Breathing</t>
  </si>
  <si>
    <t>Change Posture</t>
  </si>
  <si>
    <t>Personalized Frequency</t>
  </si>
  <si>
    <t>protected.gpt-5.2</t>
  </si>
  <si>
    <t>Tapping / Percussion (Uses mechanical tapping or thumping (like light knocks) to stimulate the skin.)</t>
  </si>
  <si>
    <t>Movement Across Skin (pads or patches that move over the skin’s surface.)</t>
  </si>
  <si>
    <t>ripple surface</t>
  </si>
  <si>
    <t>GPT-Sol3,</t>
  </si>
  <si>
    <t>Adjust Volume/proximity/intensity</t>
  </si>
  <si>
    <t>GPT-Sol7, GPT-Sol8,</t>
  </si>
  <si>
    <t>GPT-Sol9,</t>
  </si>
  <si>
    <t>GPT-Sol10,</t>
  </si>
  <si>
    <t>GPT-Sol12,</t>
  </si>
  <si>
    <t>Headphones/earphones</t>
  </si>
  <si>
    <t>GPT-Sol21, GPT-Sol22,</t>
  </si>
  <si>
    <t>GPT-Sol27,</t>
  </si>
  <si>
    <t>Hair Pulling/fabric pulling</t>
  </si>
  <si>
    <t>GPT-Sol29,</t>
  </si>
  <si>
    <t>GPT-Sol31,</t>
  </si>
  <si>
    <t>GPT-Sol1, GPT-Sol3, GPT-Sol6, GPT-Sol12, GPT-Sol15, GPT-Sol18, GPT-Sol19, GPT-Sol23,  GPT-Sol31,</t>
  </si>
  <si>
    <t>GPT-Sol11, GPT-Sol32,</t>
  </si>
  <si>
    <t>GPT-Sol17, GPT-Sol26, GPT-Sol28, GPT-Sol34, GPT-Sol35, GPT-Sol36,</t>
  </si>
  <si>
    <t>GPT-Sol4, GPT-Sol5, GPT-Sol30, GPT-Sol38,</t>
  </si>
  <si>
    <t>GPT-Sol39,</t>
  </si>
  <si>
    <t>GPT-Sol1, GPT-Sol16, GPT-Sol25, GPT-Sol34, GPT-Sol42, GPT-Sol43,</t>
  </si>
  <si>
    <t>GPT-Sol18, GPT-Sol19, GPT-Sol44, GPT-Sol45,</t>
  </si>
  <si>
    <t>GPT-Sol20, GPT-Sol49,</t>
  </si>
  <si>
    <t>GPT-Sol2, GPT-Sol37, GPT-Sol49,</t>
  </si>
  <si>
    <t>GPT-Sol22, GPT-Sol50,</t>
  </si>
  <si>
    <t>GPT-Sol13, GPT-Sol14, GPT-Sol15, GPT-Sol33, GPT-Sol47, GPT-Sol48, GPT-Sol50,</t>
  </si>
  <si>
    <t>GPT-Sol6, GPT-Sol7, GPT-Sol51,</t>
  </si>
  <si>
    <t>GPT-Sol1, GPT-Sol23, GPT-Sol24, GPT-Sol27, GPT-Sol38, GPT-Sol40, GPT-Sol41, GPT-Sol44, GPT-Sol46, GPT-Sol49, GPT-Sol52,</t>
  </si>
  <si>
    <t>GPT-Sol26, GPT-Sol52,</t>
  </si>
  <si>
    <t>protected.Claude Sonnet 4.5</t>
  </si>
  <si>
    <t>Claude-sol4,</t>
  </si>
  <si>
    <t>Claude-sol1, Claude-sol5, Claude-sol8,</t>
  </si>
  <si>
    <t>Claude-sol10,</t>
  </si>
  <si>
    <t>Claude-sol11,</t>
  </si>
  <si>
    <t>Claude-sol12,</t>
  </si>
  <si>
    <t>Claude-sol13,</t>
  </si>
  <si>
    <t>Claude-sol2, Claude-sol14,</t>
  </si>
  <si>
    <t>Claude-sol15,</t>
  </si>
  <si>
    <t>Claude-sol3, Claude-sol17,</t>
  </si>
  <si>
    <t>Claude-sol1, Claude-sol16, Claude-sol18,</t>
  </si>
  <si>
    <t>Claude-sol6, Claude-sol18,</t>
  </si>
  <si>
    <t>Claude-sol9, Claude-sol19,</t>
  </si>
  <si>
    <t>Claude-sol5, Claude-sol8, Claude-sol20,</t>
  </si>
  <si>
    <t>Claude-sol7, Claude-sol20,</t>
  </si>
  <si>
    <t>protected.llama3.2</t>
  </si>
  <si>
    <t>Llama-sol3,</t>
  </si>
  <si>
    <t>Llama-sol1, Llama-sol4,</t>
  </si>
  <si>
    <t>Llama-sol6,</t>
  </si>
  <si>
    <t>Llama-sol1, Llama-sol3, Llama-sol4, Llama-sol5, Llama-sol6, Llama-sol7, Llama-sol8,</t>
  </si>
  <si>
    <t>GPT-Sol4,</t>
  </si>
  <si>
    <t>Internal Pressure</t>
  </si>
  <si>
    <t>GPT-Sol8,</t>
  </si>
  <si>
    <t>GPT-Sol6, GPT-Sol12,</t>
  </si>
  <si>
    <t>GPT-Sol13,</t>
  </si>
  <si>
    <t>GPT-Sol2, GPT-Sol4, GPT-Sol13, GPT-Sol17,</t>
  </si>
  <si>
    <t>GPT-Sol4, GPT-Sol18,</t>
  </si>
  <si>
    <t>GPT-Sol5, GPT-Sol18,</t>
  </si>
  <si>
    <t xml:space="preserve">GPT-Sol16, </t>
  </si>
  <si>
    <t>GPT-Sol20,</t>
  </si>
  <si>
    <t>GPT-Sol1, GPT-Sol6, GPT-Sol8, GPT-Sol9, GPT-Sol10, GPT-Sol16, GPT-Sol19, GPT-Sol20, GPT-Sol21,</t>
  </si>
  <si>
    <t>GPT-Sol21,</t>
  </si>
  <si>
    <t>GPT-Sol3, GPT-Sol5, GPT-Sol7, GPT-Sol15, GPT-Sol22,</t>
  </si>
  <si>
    <t>GPT-Sol12, GPT-Sol22,</t>
  </si>
  <si>
    <t>GPT-Sol1, GPT-Sol2, GPT-Sol5, GPT-Sol8, GPT-Sol9, GPT-Sol10, GPT-Sol12, GPT-Sol13, GPT-Sol14, GPT-Sol18, GPT-Sol19, GPT-Sol21, GPT-Sol23,</t>
  </si>
  <si>
    <t>GPT-Sol12, GPT-Sol19, GPT-Sol24,</t>
  </si>
  <si>
    <t>GPT-Sol2, GPT-Sol3, GPT-Sol7, GPT-Sol15, GPT-Sol17, GPT-Sol22, GPT-Sol23, GPT-Sol24,</t>
  </si>
  <si>
    <t>GPT-Sol1, GPT-Sol3, GPT-Sol4, GPT-Sol5, GPT-Sol6, GPT-Sol8, GPT-Sol9, GPT-Sol10, GPT-Sol11, GPT-Sol12, GPT-Sol14, GPT-Sol16, GPT-Sol17, GPT-Sol18, GPT-Sol21, GPT-Sol22, GPT-Sol23, GPT-Sol24,</t>
  </si>
  <si>
    <t>Claude-Sol2,</t>
  </si>
  <si>
    <t>Claude-Sol5,</t>
  </si>
  <si>
    <t>Claude-Sol6,</t>
  </si>
  <si>
    <t>Claude-Sol7,</t>
  </si>
  <si>
    <t>Claude-Sol3, Claude-Sol7,</t>
  </si>
  <si>
    <t>Claude-Sol4, Claude-Sol9,</t>
  </si>
  <si>
    <t>Claude-Sol1, Claude-Sol9,</t>
  </si>
  <si>
    <t>Claude-Sol10,</t>
  </si>
  <si>
    <t>Claude-Sol11,</t>
  </si>
  <si>
    <t>Claude-Sol12,</t>
  </si>
  <si>
    <t>Claude-Sol14,</t>
  </si>
  <si>
    <t>Claude-Sol8, Claude-Sol14,</t>
  </si>
  <si>
    <t>Claude-Sol15,</t>
  </si>
  <si>
    <t>Claude-Sol16,</t>
  </si>
  <si>
    <t>Claude-Sol5, Claude-Sol10, Claude-Sol14, Claude-Sol17, Claude-Sol18,</t>
  </si>
  <si>
    <t>Claude-Sol1, Claude-Sol3, Claude-Sol4, Claude-Sol6, Claude-Sol11, Claude-Sol15, Claude-Sol18,</t>
  </si>
  <si>
    <t>Claude-Sol19,</t>
  </si>
  <si>
    <t>Claude-Sol2, Claude-Sol4, Claude-Sol5, Claude-Sol6, Claude-Sol7, Claude-Sol8, Claude-Sol13, Claude-Sol14, Claude-Sol15, Claude-Sol18, Claude-Sol19,</t>
  </si>
  <si>
    <t>Claude-Sol9, Claude-Sol16, Claude-Sol17, Claude-Sol20,</t>
  </si>
  <si>
    <t>Llama-Sol1,  Llama-Sol2,</t>
  </si>
  <si>
    <t>Llama-Sol3,</t>
  </si>
  <si>
    <t>Llama-Sol4,</t>
  </si>
  <si>
    <t>Llama-Sol5,</t>
  </si>
  <si>
    <t>Llama-Sol6,</t>
  </si>
  <si>
    <t>Llama-Sol1, Llama-Sol5, Llama-Sol7, Llama-Sol8,</t>
  </si>
  <si>
    <t>Llama-Sol3, Llama-Sol5, Llama-Sol8,</t>
  </si>
  <si>
    <t>GPT-GPT-Sol2,</t>
  </si>
  <si>
    <t>GPT-GPT-Sol3,</t>
  </si>
  <si>
    <t>GPT-GPT-Sol6, GPT-GPT-Sol7,</t>
  </si>
  <si>
    <t>GPT-GPT-Sol8,</t>
  </si>
  <si>
    <t>GPT-GPT-Sol9,</t>
  </si>
  <si>
    <t>GPT-GPT-Sol10,</t>
  </si>
  <si>
    <t>GPT-GPT-Sol6, GPT-GPT-Sol12,;</t>
  </si>
  <si>
    <t>GPT-GPT-Sol13,</t>
  </si>
  <si>
    <t>GPT-GPT-Sol14,</t>
  </si>
  <si>
    <t>GPT-GPT-Sol3, GPT-GPT-Sol9, GPT-GPT-Sol11, GPT-GPT-Sol15,</t>
  </si>
  <si>
    <t>GPT-GPT-Sol2, GPT-GPT-Sol16,</t>
  </si>
  <si>
    <t>GPT-GPT-Sol5, GPT-GPT-Sol11, GPT-GPT-Sol18,</t>
  </si>
  <si>
    <t>GPT-GPT-Sol4, GPT-GPT-Sol13, GPT-GPT-Sol18,</t>
  </si>
  <si>
    <t>GPT-GPT-Sol8, GPT-GPT-Sol12, GPT-GPT-Sol19,</t>
  </si>
  <si>
    <t>GPT-GPT-Sol20,</t>
  </si>
  <si>
    <t>GPT-GPT-Sol1, GPT-GPT-Sol6, GPT-GPT-Sol9, GPT-GPT-Sol10, GPT-GPT-Sol16, GPT-GPT-Sol17, GPT-GPT-Sol18, GPT-GPT-Sol20, GPT-GPT-Sol21,</t>
  </si>
  <si>
    <t>GPT-GPT-Sol1, GPT-GPT-Sol3, GPT-GPT-Sol8, GPT-GPT-Sol12, GPT-GPT-Sol14, GPT-GPT-Sol15, GPT-GPT-Sol17, GPT-GPT-Sol21,</t>
  </si>
  <si>
    <t>GPT-GPT-Sol3, GPT-GPT-Sol5, GPT-GPT-Sol7, GPT-GPT-Sol15, GPT-GPT-Sol22,</t>
  </si>
  <si>
    <t>GPT-GPT-Sol1, GPT-GPT-Sol2, GPT-GPT-Sol3, GPT-GPT-Sol7, GPT-GPT-Sol12, GPT-GPT-Sol14, GPT-GPT-Sol15, GPT-GPT-Sol19, GPT-GPT-Sol22,</t>
  </si>
  <si>
    <t>GPT-GPT-Sol5, GPT-GPT-Sol8, GPT-GPT-Sol13, GPT-GPT-Sol23,</t>
  </si>
  <si>
    <t>GPT-GPT-Sol1, GPT-GPT-Sol3, GPT-GPT-Sol4, GPT-GPT-Sol5, GPT-GPT-Sol6, GPT-GPT-Sol7, GPT-GPT-Sol8, GPT-GPT-Sol9, GPT-GPT-Sol12, GPT-GPT-Sol13, GPT-GPT-Sol14, GPT-GPT-Sol15, GPT-GPT-Sol16, GPT-GPT-Sol17, GPT-GPT-Sol18, GPT-GPT-Sol19, GPT-GPT-Sol23, GPT-GPT-Sol24,</t>
  </si>
  <si>
    <t>GPT-GPT-Sol2, GPT-GPT-Sol3, GPT-GPT-Sol22, GPT-GPT-Sol24,</t>
  </si>
  <si>
    <t>GPT-GPT-Sol3, GPT-GPT-Sol16, GPT-GPT-Sol19, GPT-GPT-Sol24,</t>
  </si>
  <si>
    <t>GPT-GPT-Sol1, GPT-GPT-Sol2, GPT-GPT-Sol5, GPT-GPT-Sol6, GPT-GPT-Sol7,  GPT-GPT-Sol13, GPT-GPT-Sol15, GPT-GPT-Sol17, GPT-GPT-Sol18, GPT-GPT-Sol20, GPT-GPT-Sol22, GPT-GPT-Sol24,</t>
  </si>
  <si>
    <t>GPT-GPT-Sol1, GPT-GPT-Sol4, GPT-GPT-Sol6, GPT-GPT-Sol8, GPT-GPT-Sol9, GPT-GPT-Sol11, GPT-GPT-Sol12, GPT-GPT-Sol14, GPT-GPT-Sol16, GPT-GPT-Sol17, GPT-GPT-Sol18, GPT-GPT-Sol19, GPT-GPT-Sol20, GPT-GPT-Sol21, GPT-GPT-Sol22, GPT-GPT-Sol24,</t>
  </si>
  <si>
    <t>GPT-GPT-Sol12,</t>
  </si>
  <si>
    <t>GPT-GPT-Sol2, GPT-GPT-Sol12,</t>
  </si>
  <si>
    <t>GPT-GPT-Sol16,</t>
  </si>
  <si>
    <t>Machine Learning</t>
  </si>
  <si>
    <t>GPT-GPT-Sol27,</t>
  </si>
  <si>
    <t>GPT-GPT-Sol28,</t>
  </si>
  <si>
    <t>GPT-GPT-Sol29,</t>
  </si>
  <si>
    <t>GPT-GPT-Sol31,</t>
  </si>
  <si>
    <t>GPT-GPT-Sol11, GPT-GPT-Sol16, GPT-GPT-Sol32,</t>
  </si>
  <si>
    <t xml:space="preserve">GPT-GPT-Sol1, GPT-GPT-Sol14, GPT-GPT-Sol16, GPT-GPT-Sol25, </t>
  </si>
  <si>
    <t>GPT-GPT-Sol39,</t>
  </si>
  <si>
    <t>GPT-GPT-Sol4, GPT-GPT-Sol5, GPT-GPT-Sol7, GPT-GPT-Sol30, GPT-GPT-Sol44,</t>
  </si>
  <si>
    <t>GPT-GPT-Sol18, GPT-GPT-Sol19, GPT-GPT-Sol20, GPT-GPT-Sol45,</t>
  </si>
  <si>
    <t>GPT-GPT-Sol10, GPT-GPT-Sol15, GPT-GPT-Sol17, GPT-GPT-Sol34, GPT-GPT-Sol35, GPT-GPT-Sol36, GPT-GPT-Sol40, GPT-GPT-Sol46,</t>
  </si>
  <si>
    <t>GPT-GPT-Sol8, GPT-GPT-Sol13, GPT-GPT-Sol42, GPT-GPT-Sol47, GPT-GPT-Sol48,</t>
  </si>
  <si>
    <t>GPT-GPT-Sol49,</t>
  </si>
  <si>
    <t>GPT-GPT-Sol2, GPT-GPT-Sol7, GPT-GPT-Sol21, GPT-GPT-Sol37, GPT-GPT-Sol49,</t>
  </si>
  <si>
    <t>GPT-GPT-Sol22, GPT-GPT-Sol50,</t>
  </si>
  <si>
    <t>GPT-GPT-Sol38, GPT-GPT-Sol50, GPT-GPT-Sol51,</t>
  </si>
  <si>
    <t>GPT-GPT-Sol3, GPT-GPT-Sol8, GPT-GPT-Sol11, GPT-GPT-Sol12, GPT-GPT-Sol14, GPT-GPT-Sol15, GPT-GPT-Sol17, GPT-GPT-Sol18, GPT-GPT-Sol19, GPT-GPT-Sol20, GPT-GPT-Sol23, GPT-GPT-Sol25, GPT-GPT-Sol27, GPT-GPT-Sol36, GPT-GPT-Sol37, GPT-GPT-Sol40, GPT-GPT-Sol41, GPT-GPT-Sol43, GPT-GPT-Sol44, GPT-GPT-Sol49, GPT-GPT-Sol50, GPT-GPT-Sol51,</t>
  </si>
  <si>
    <t>GPT-GPT-Sol13, GPT-GPT-Sol21, GPT-GPT-Sol26, GPT-GPT-Sol52,</t>
  </si>
  <si>
    <t>GPT-GPT-Sol1, GPT-GPT-Sol2, GPT-GPT-Sol3, GPT-GPT-Sol5, GPT-GPT-Sol7, GPT-GPT-Sol9, GPT-GPT-Sol12, GPT-GPT-Sol13, GPT-GPT-Sol19, GPT-GPT-Sol22, GPT-GPT-Sol23, GPT-GPT-Sol24, GPT-GPT-Sol26, GPT-GPT-Sol29, GPT-GPT-Sol33, GPT-GPT-Sol37, GPT-GPT-Sol38, GPT-GPT-Sol41, GPT-GPT-Sol43, GPT-GPT-Sol44, GPT-GPT-Sol45, GPT-GPT-Sol49, GPT-GPT-Sol51, GPT-GPT-Sol52,</t>
  </si>
  <si>
    <t>Claude-GPT-Sol6,</t>
  </si>
  <si>
    <t>Claude-GPT-Sol9,</t>
  </si>
  <si>
    <t>Claude-GPT-Sol10,</t>
  </si>
  <si>
    <t>Claude-GPT-Sol11,</t>
  </si>
  <si>
    <t>Claude-GPT-Sol4, Claude-GPT-Sol13,</t>
  </si>
  <si>
    <t>Claude-GPT-Sol2, Claude-GPT-Sol14,</t>
  </si>
  <si>
    <t>Claude-GPT-Sol15,</t>
  </si>
  <si>
    <t>Claude-GPT-Sol12, Claude-GPT-Sol17,</t>
  </si>
  <si>
    <t>Claude-GPT-Sol6, Claude-GPT-Sol18,</t>
  </si>
  <si>
    <t>Claude-GPT-Sol1, Claude-GPT-Sol2, Claude-GPT-Sol5, Claude-GPT-Sol6, Claude-GPT-Sol10, Claude-GPT-Sol15, Claude-GPT-Sol16, Claude-GPT-Sol18,</t>
  </si>
  <si>
    <t>Claude-GPT-Sol8, Claude-GPT-Sol9, Claude-GPT-Sol12, Claude-GPT-Sol18,</t>
  </si>
  <si>
    <t>Claude-GPT-Sol19,</t>
  </si>
  <si>
    <t>Claude-GPT-Sol4, Claude-GPT-Sol7, Claude-GPT-Sol13, Claude-GPT-Sol20,</t>
  </si>
  <si>
    <t>Claude-GPT-Sol5, Claude-GPT-Sol8, Claude-GPT-Sol20,</t>
  </si>
  <si>
    <t>Claude-GPT-Sol3, Claude-GPT-Sol7, Claude-GPT-Sol13, Claude-GPT-Sol17, Claude-GPT-Sol20,</t>
  </si>
  <si>
    <t>Claude-GPT-Sol1, Claude-GPT-Sol2, Claude-GPT-Sol9, Claude-GPT-Sol13, Claude-GPT-Sol14, Claude-GPT-Sol15, Claude-GPT-Sol16, Claude-GPT-Sol18, Claude-GPT-Sol20,</t>
  </si>
  <si>
    <t>Llama-GPT-Sol3,</t>
  </si>
  <si>
    <t>Llama-GPT-Sol1, Llama-GPT-Sol4,</t>
  </si>
  <si>
    <t>Llama-GPT-Sol5,</t>
  </si>
  <si>
    <t>Llama-GPT-Sol6,</t>
  </si>
  <si>
    <t>Llama-GPT-Sol2, Llama-GPT-Sol6,</t>
  </si>
  <si>
    <t>Llama-GPT-Sol1, Llama-GPT-Sol3, Llama-GPT-Sol4, Llama-GPT-Sol6,</t>
  </si>
  <si>
    <t>Llama-GPT-Sol7,</t>
  </si>
  <si>
    <t>Llama-GPT-Sol2, Llama-GPT-Sol7, Llama-GPT-Sol8,</t>
  </si>
  <si>
    <t>Llama-GPT-Sol1, Llama-GPT-Sol2, Llama-GPT-Sol4, Llama-GPT-Sol6, Llama-GPT-Sol7, Llama-GPT-Sol8,</t>
  </si>
  <si>
    <t>Claude-GPT-Sol2, Claude-GPT-Sol5,</t>
  </si>
  <si>
    <t>Claude-GPT-Sol7,</t>
  </si>
  <si>
    <t>Claude-GPT-Sol4, Claude-GPT-Sol9,</t>
  </si>
  <si>
    <t>Claude-GPT-Sol3, Claude-GPT-Sol12,</t>
  </si>
  <si>
    <t>Claude-GPT-Sol16,</t>
  </si>
  <si>
    <t>Claude-GPT-Sol2, Claude-GPT-Sol8, Claude-GPT-Sol16,</t>
  </si>
  <si>
    <t>Claude-GPT-Sol17,</t>
  </si>
  <si>
    <t>Claude-GPT-Sol5, Claude-GPT-Sol17,</t>
  </si>
  <si>
    <t>Claude-GPT-Sol16, Claude-GPT-Sol18,</t>
  </si>
  <si>
    <t>Claude-GPT-Sol2, Claude-GPT-Sol3, Claude-GPT-Sol6, Claude-GPT-Sol8, Claude-GPT-Sol9, Claude-GPT-Sol11, Claude-GPT-Sol13, Claude-GPT-Sol16, Claude-GPT-Sol18,</t>
  </si>
  <si>
    <t>Claude-GPT-Sol7, Claude-GPT-Sol10, Claude-GPT-Sol17, Claude-GPT-Sol18,</t>
  </si>
  <si>
    <t xml:space="preserve">Claude-GPT-Sol3, Claude-GPT-Sol12, Claude-GPT-Sol15, </t>
  </si>
  <si>
    <t>Claude-GPT-Sol11, Claude-GPT-Sol18,</t>
  </si>
  <si>
    <t>Claude-GPT-Sol1, Claude-GPT-Sol2, Claude-GPT-Sol3, Claude-GPT-Sol4, Claude-GPT-Sol5, Claude-GPT-Sol6, Claude-GPT-Sol7, Claude-GPT-Sol8, Claude-GPT-Sol9, Claude-GPT-Sol10, Claude-GPT-Sol11, Claude-GPT-Sol12, Claude-GPT-Sol13, Claude-GPT-Sol14, Claude-GPT-Sol15, Claude-GPT-Sol16, Claude-GPT-Sol18, Claude-GPT-Sol19,</t>
  </si>
  <si>
    <t>Claude-GPT-Sol1, Claude-GPT-Sol5, Claude-GPT-Sol6, Claude-GPT-Sol8, Claude-GPT-Sol9, Claude-GPT-Sol16, Claude-GPT-Sol19,</t>
  </si>
  <si>
    <t>Claude-GPT-Sol2, Claude-GPT-Sol4, Claude-GPT-Sol10, Claude-GPT-Sol12, Claude-GPT-Sol19,</t>
  </si>
  <si>
    <t>Claude-GPT-Sol1, Claude-GPT-Sol14, Claude-GPT-Sol17, Claude-GPT-Sol20,</t>
  </si>
  <si>
    <t>Claude-GPT-Sol20,</t>
  </si>
  <si>
    <t>Claude-GPT-Sol1, Claude-GPT-Sol3, Claude-GPT-Sol4, Claude-GPT-Sol7, Claude-GPT-Sol10, Claude-GPT-Sol11, Claude-GPT-Sol14, Claude-GPT-Sol15, Claude-GPT-Sol17, Claude-GPT-Sol18, Claude-GPT-Sol20,</t>
  </si>
  <si>
    <t>Llama-GPT-Sol2, Llama-GPT-Sol4, Llama-GPT-Sol6,</t>
  </si>
  <si>
    <t>Llama-GPT-Sol1, Llama-GPT-Sol2, Llama-GPT-Sol6,</t>
  </si>
  <si>
    <t>Llama-GPT-Sol1, Llama-GPT-Sol2, Llama-GPT-Sol7,</t>
  </si>
  <si>
    <t>Llama-GPT-Sol1, Llama-GPT-Sol3, Llama-GPT-Sol5, Llama-GPT-Sol6, Llama-GPT-Sol7,</t>
  </si>
  <si>
    <t>Llama-GPT-Sol8,</t>
  </si>
  <si>
    <t>Llama-GPT-Sol7, Llama-GPT-Sol8,</t>
  </si>
  <si>
    <t>Llama-GPT-Sol1, Llama-GPT-Sol3, Llama-GPT-Sol5, Llama-GPT-Sol6, Llama-GPT-Sol8,</t>
  </si>
  <si>
    <t>Llama-GPT-Sol3, Llama-GPT-Sol8,</t>
  </si>
  <si>
    <t>Llama-GPT-Sol1, Llama-GPT-Sol2, Llama-GPT-Sol3, Llama-GPT-Sol4, Llama-GPT-Sol5, Llama-GPT-Sol6, Llama-GPT-Sol8,</t>
  </si>
  <si>
    <t>Llama generated-GPT refined</t>
  </si>
  <si>
    <t>Claude generated-GPT refined</t>
  </si>
  <si>
    <t>GPT generated-GPT refined</t>
  </si>
  <si>
    <t>GPT generated-Claude refined</t>
  </si>
  <si>
    <t>Claude generated-Claude refined</t>
  </si>
  <si>
    <t>Llama generated-Claude refined</t>
  </si>
  <si>
    <t>GPT-Claude-Sol1,</t>
  </si>
  <si>
    <t>GPT-Claude-Sol2,</t>
  </si>
  <si>
    <t>GPT-Claude-Sol5,</t>
  </si>
  <si>
    <t>GPT-Claude-Sol4, GPT-Claude-Sol11,</t>
  </si>
  <si>
    <t>GPT-Claude-Sol1, GPT-Claude-Sol3, GPT-Claude-Sol12,</t>
  </si>
  <si>
    <t>GPT-Claude-Sol8, GPT-Claude-Sol14,</t>
  </si>
  <si>
    <t>GPT-Claude-Sol3, GPT-Claude-Sol4, GPT-Claude-Sol10, GPT-Claude-Sol14,</t>
  </si>
  <si>
    <t>GPT-Claude-Sol7, GPT-Claude-Sol14,</t>
  </si>
  <si>
    <t>GPT-Claude-Sol15,</t>
  </si>
  <si>
    <t>GPT-Claude-Sol16,</t>
  </si>
  <si>
    <t>GPT-Claude-Sol17,</t>
  </si>
  <si>
    <t>GPT-Claude-Sol2, GPT-Claude-Sol18,</t>
  </si>
  <si>
    <t>GPT-Claude-Sol6, GPT-Claude-Sol10, GPT-Claude-Sol19, GPT-Claude-Sol20,</t>
  </si>
  <si>
    <t>GPT-Claude-Sol7, GPT-Claude-Sol21,</t>
  </si>
  <si>
    <t>GPT-Claude-Sol11, GPT-Claude-Sol17, GPT-Claude-Sol21,</t>
  </si>
  <si>
    <t>GPT-Claude-Sol3, GPT-Claude-Sol13, GPT-Claude-Sol16, GPT-Claude-Sol22,</t>
  </si>
  <si>
    <t>GPT-Claude-Sol9, GPT-Claude-Sol16, GPT-Claude-Sol22,</t>
  </si>
  <si>
    <t>GPT-Claude-Sol3, GPT-Claude-Sol5, GPT-Claude-Sol23,</t>
  </si>
  <si>
    <t>GPT-Claude-Sol3, GPT-Claude-Sol10, GPT-Claude-Sol12, GPT-Claude-Sol20, GPT-Claude-Sol22, GPT-Claude-Sol23,</t>
  </si>
  <si>
    <t>GPT-Claude-Sol1, GPT-Claude-Sol5, GPT-Claude-Sol11, GPT-Claude-Sol19, GPT-Claude-Sol24,</t>
  </si>
  <si>
    <t>GPT-Claude-Sol1, GPT-Claude-Sol2, GPT-Claude-Sol4, GPT-Claude-Sol5, GPT-Claude-Sol6, GPT-Claude-Sol7, GPT-Claude-Sol8, GPT-Claude-Sol9, GPT-Claude-Sol12, GPT-Claude-Sol13, GPT-Claude-Sol15, GPT-Claude-Sol17, GPT-Claude-Sol18, GPT-Claude-Sol21, GPT-Claude-Sol22, GPT-Claude-Sol23, GPT-Claude-Sol24,</t>
  </si>
  <si>
    <t>GPT-Claude-Sol1, GPT-Claude-Sol6, GPT-Claude-Sol11, GPT-Claude-Sol18, GPT-Claude-Sol19, GPT-Claude-Sol21, GPT-Claude-Sol24,</t>
  </si>
  <si>
    <t>GPT-Claude-Sol2, GPT-Claude-Sol9, GPT-Claude-Sol24,</t>
  </si>
  <si>
    <t>Claude-Claude-Sol1,</t>
  </si>
  <si>
    <t>Claude-Claude-Sol3,</t>
  </si>
  <si>
    <t>Claude-Claude-Sol6,</t>
  </si>
  <si>
    <t>Claude-Claude-Sol7,</t>
  </si>
  <si>
    <t>Claude-Claude-Sol1, Claude-Claude-Sol11,</t>
  </si>
  <si>
    <t>Claude-Claude-Sol13,</t>
  </si>
  <si>
    <t>Claude-Claude-Sol8, Claude-Claude-Sol14, Claude-Claude-Sol17,</t>
  </si>
  <si>
    <t>Claude-Claude-Sol20,</t>
  </si>
  <si>
    <t>Claude-Claude-Sol15, Claude-Claude-Sol20,</t>
  </si>
  <si>
    <t>GPT-Claude-Sol22,</t>
  </si>
  <si>
    <t>GPT-Claude-Sol26,</t>
  </si>
  <si>
    <t>GPT-Claude-Sol3, GPT-Claude-Sol27,</t>
  </si>
  <si>
    <t>GPT-Claude-Sol5, GPT-Claude-Sol22, GPT-Claude-Sol30,</t>
  </si>
  <si>
    <t>GPT-Claude-Sol5, GPT-Claude-Sol8, GPT-Claude-Sol16, GPT-Claude-Sol21, GPT-Claude-Sol34,</t>
  </si>
  <si>
    <t>GPT-Claude-Sol35,</t>
  </si>
  <si>
    <t>Llama-Claude-Sol1,</t>
  </si>
  <si>
    <t>Llama-Claude-Sol2,</t>
  </si>
  <si>
    <t>Llama-Claude-Sol1, Llama-Claude-Sol2,</t>
  </si>
  <si>
    <t>Llama-Claude-Sol1, Llama-Claude-Sol3,</t>
  </si>
  <si>
    <t>Llama-Claude-Sol4,</t>
  </si>
  <si>
    <t>Llama-Claude-Sol5,</t>
  </si>
  <si>
    <t>Llama-Claude-Sol3, Llama-Claude-Sol6,</t>
  </si>
  <si>
    <t>Llama-Claude-Sol1, Llama-Claude-Sol3, Llama-Claude-Sol5, Llama-Claude-Sol6,</t>
  </si>
  <si>
    <t>Llama-Claude-Sol6,</t>
  </si>
  <si>
    <t>Llama-Claude-Sol2, Llama-Claude-Sol3, Llama-Claude-Sol6, Llama-Claude-Sol7,</t>
  </si>
  <si>
    <t>Llama-Claude-Sol7,</t>
  </si>
  <si>
    <t>Llama-Claude-Sol6, Llama-Claude-Sol8,</t>
  </si>
  <si>
    <t>Llama-Claude-Sol8,</t>
  </si>
  <si>
    <t xml:space="preserve"> </t>
  </si>
  <si>
    <t xml:space="preserve">Claude-Claude-Sol18,  </t>
  </si>
  <si>
    <t xml:space="preserve">Claude-Claude-Sol15, Claude-Claude-Sol20,  </t>
  </si>
  <si>
    <t xml:space="preserve">Claude-Claude-Sol6, Claude-Claude-Sol9, Claude-Claude-Sol18,  </t>
  </si>
  <si>
    <t xml:space="preserve">Claude-Claude-Sol9, Claude-Claude-Sol18,    </t>
  </si>
  <si>
    <t xml:space="preserve">Claude-Claude-Sol7,  </t>
  </si>
  <si>
    <t xml:space="preserve">Claude-Claude-Sol3, Claude-Claude-Sol15,  </t>
  </si>
  <si>
    <t xml:space="preserve">Claude-Claude-Sol1, Claude-Claude-Sol2, Claude-Claude-Sol4, Claude-Claude-Sol8, Claude-Claude-Sol11, Claude-Claude-Sol15, Claude-Claude-Sol20,        </t>
  </si>
  <si>
    <t xml:space="preserve">Claude-Claude-Sol4,    </t>
  </si>
  <si>
    <t xml:space="preserve">Claude-Claude-Sol3,    </t>
  </si>
  <si>
    <t xml:space="preserve">Claude-Claude-Sol8, Claude-Claude-Sol10, Claude-Claude-Sol12, Claude-Claude-Sol19,  </t>
  </si>
  <si>
    <t xml:space="preserve">Claude-Claude-Sol3, Claude-Claude-Sol4, Claude-Claude-Sol5, Claude-Claude-Sol6, Claude-Claude-Sol8, Claude-Claude-Sol9, Claude-Claude-Sol10, Claude-Claude-Sol12, Claude-Claude-Sol14, Claude-Claude-Sol16, Claude-Claude-Sol17, Claude-Claude-Sol18, Claude-Claude-Sol19,          </t>
  </si>
  <si>
    <t xml:space="preserve">Claude-Claude-Sol5, Claude-Claude-Sol8, Claude-Claude-Sol16, Claude-Claude-Sol20,  </t>
  </si>
  <si>
    <t xml:space="preserve">Claude-Claude-Sol5, Claude-Claude-Sol12, Claude-Claude-Sol16, Claude-Claude-Sol19,    </t>
  </si>
  <si>
    <t>GPT-Claude-Sol39,</t>
  </si>
  <si>
    <t>GPT-Claude-Sol1, GPT-Claude-Sol12, GPT-Claude-Sol39,</t>
  </si>
  <si>
    <t>GPT-Claude-Sol40,</t>
  </si>
  <si>
    <t>GPT-Claude-Sol11, GPT-Claude-Sol14, GPT-Claude-Sol17, GPT-Claude-Sol18, GPT-Claude-Sol24, GPT-Claude-Sol33, GPT-Claude-Sol40, GPT-Claude-Sol43,</t>
  </si>
  <si>
    <t>GPT-Claude-Sol6, GPT-Claude-Sol29, GPT-Claude-Sol43,</t>
  </si>
  <si>
    <t>GPT-Claude-Sol8, GPT-Claude-Sol20, GPT-Claude-Sol46,</t>
  </si>
  <si>
    <t>GPT-Claude-Sol4, GPT-Claude-Sol7, GPT-Claude-Sol9, GPT-Claude-Sol18, GPT-Claude-Sol23, GPT-Claude-Sol31, GPT-Claude-Sol32, GPT-Claude-Sol35, GPT-Claude-Sol42, GPT-Claude-Sol48,</t>
  </si>
  <si>
    <t>GPT-Claude-Sol1, GPT-Claude-Sol3, GPT-Claude-Sol15, GPT-Claude-Sol36, GPT-Claude-Sol44, GPT-Claude-Sol46, GPT-Claude-Sol47, GPT-Claude-Sol48,</t>
  </si>
  <si>
    <t>GPT-Claude-Sol8, GPT-Claude-Sol10, GPT-Claude-Sol19, GPT-Claude-Sol25, GPT-Claude-Sol38, GPT-Claude-Sol44, GPT-Claude-Sol46, GPT-Claude-Sol49,</t>
  </si>
  <si>
    <t xml:space="preserve">GPT-Claude-Sol31, GPT-Claude-Sol37, GPT-Claude-Sol45, </t>
  </si>
  <si>
    <t>Sequencial stimulation</t>
  </si>
  <si>
    <t>GPT-Claude-Sol50,</t>
  </si>
  <si>
    <t>GPT-Claude-Sol51,</t>
  </si>
  <si>
    <t>Claude-Claude-Sol2,</t>
  </si>
  <si>
    <t>Claude-Claude-Sol10,</t>
  </si>
  <si>
    <t>Claude-Claude-Sol14,</t>
  </si>
  <si>
    <t>Claude-Claude-Sol16,</t>
  </si>
  <si>
    <t>Claude-Claude-Sol9, Claude-Claude-Sol12, Claude-Claude-Sol17,</t>
  </si>
  <si>
    <t>Claude-Claude-Sol13, Claude-Claude-Sol18,</t>
  </si>
  <si>
    <t>Claude-Claude-Sol1, Claude-Claude-Sol3, Claude-Claude-Sol18,</t>
  </si>
  <si>
    <t>Claude-Claude-Sol6, Claude-Claude-Sol18,</t>
  </si>
  <si>
    <t>Claude-Claude-Sol4, Claude-Claude-Sol11, Claude-Claude-Sol19,</t>
  </si>
  <si>
    <t>Claude-Claude-Sol5, Claude-Claude-Sol8, Claude-Claude-Sol15, Claude-Claude-Sol20,</t>
  </si>
  <si>
    <t>Claude-Claude-Sol1, Claude-Claude-Sol3, Claude-Claude-Sol13, Claude-Claude-Sol15, Claude-Claude-Sol20,</t>
  </si>
  <si>
    <t>Llama-Claude-Sol3, Llama-Claude-Sol5,</t>
  </si>
  <si>
    <t>Llama-Claude-Sol2, Llama-Claude-Sol5, Llama-Claude-Sol7,</t>
  </si>
  <si>
    <t>Llama-Claude-Sol2, Llama-Claude-Sol7,</t>
  </si>
  <si>
    <t>Llama-Claude-Sol1, Llama-Claude-Sol7,</t>
  </si>
  <si>
    <t>GPT generated-Llama refined</t>
  </si>
  <si>
    <t>Claude generated-Llama refined</t>
  </si>
  <si>
    <t>Llama generated-Llama refined</t>
  </si>
  <si>
    <t>Llama-Llama-sol2,</t>
  </si>
  <si>
    <t>Llama-Llama-sol1, Llama-Llama-sol4,</t>
  </si>
  <si>
    <t>Llama-Llama-sol6,</t>
  </si>
  <si>
    <t>Llama-Llama-sol3, Llama-Llama-sol6, Llama-Llama-sol7, Llama-Llama-sol8,</t>
  </si>
  <si>
    <t>Llama-Llama-sol1, Llama-Llama-sol2, Llama-Llama-sol3, Llama-Llama-sol4, Llama-Llama-sol5, Llama-Llama-sol6, Llama-Llama-sol7, Llama-Llama-sol8,</t>
  </si>
  <si>
    <t>GPT-Llama-sol3,</t>
  </si>
  <si>
    <t>GPT-Llama-sol7, GPT-Llama-sol8,</t>
  </si>
  <si>
    <t>GPT-Llama-sol4, GPT-Llama-sol6, GPT-Llama-sol7, GPT-Llama-sol8,</t>
  </si>
  <si>
    <t>GPT-Llama-sol9,</t>
  </si>
  <si>
    <t>GPT-Llama-sol11,</t>
  </si>
  <si>
    <t>GPT-Llama-sol2, GPT-Llama-sol12,</t>
  </si>
  <si>
    <t>GPT-Llama-sol12,</t>
  </si>
  <si>
    <t>GPT-Llama-sol14,</t>
  </si>
  <si>
    <t>GPT-Llama-sol16,</t>
  </si>
  <si>
    <t>GPT-Llama-sol20,</t>
  </si>
  <si>
    <t>GPT-Llama-sol21, GPT-Llama-sol22,</t>
  </si>
  <si>
    <t>GPT-Llama-sol22,</t>
  </si>
  <si>
    <t>GPT-Llama-sol28,</t>
  </si>
  <si>
    <t>GPT-Llama-sol29,</t>
  </si>
  <si>
    <t>GPT-Llama-sol31,</t>
  </si>
  <si>
    <t>GPT-Llama-sol10, GPT-Llama-sol17, GPT-Llama-sol32, GPT-Llama-sol34, GPT-Llama-sol35, GPT-Llama-sol36,</t>
  </si>
  <si>
    <t>GPT-Llama-sol4, GPT-Llama-sol5, GPT-Llama-sol7, GPT-Llama-sol30, GPT-Llama-sol38,</t>
  </si>
  <si>
    <t>GPT-Llama-sol10, GPT-Llama-sol38,</t>
  </si>
  <si>
    <t>GPT-Llama-sol39,</t>
  </si>
  <si>
    <t>GPT-Llama-sol18, GPT-Llama-sol19, GPT-Llama-sol45, GPT-Llama-sol49,</t>
  </si>
  <si>
    <t>GPT-Llama-sol2, GPT-Llama-sol21, GPT-Llama-sol37, GPT-Llama-sol49,</t>
  </si>
  <si>
    <t>GPT-Llama-sol13, GPT-Llama-sol14, GPT-Llama-sol15, GPT-Llama-sol47, GPT-Llama-sol50,</t>
  </si>
  <si>
    <t>GPT-Llama-sol51,</t>
  </si>
  <si>
    <t>GPT-Llama-sol2, GPT-Llama-sol10, GPT-Llama-sol12, GPT-Llama-sol15, GPT-Llama-sol16, GPT-Llama-sol22, GPT-Llama-sol24, GPT-Llama-sol45, GPT-Llama-sol51,</t>
  </si>
  <si>
    <t>GPT-Llama-sol1, GPT-Llama-sol23, GPT-Llama-sol24, GPT-Llama-sol26, GPT-Llama-sol27, GPT-Llama-sol33, GPT-Llama-sol38, GPT-Llama-sol40, GPT-Llama-sol41, GPT-Llama-sol42, GPT-Llama-sol44, GPT-Llama-sol45, GPT-Llama-sol46, GPT-Llama-sol48, GPT-Llama-sol49, GPT-Llama-sol52,</t>
  </si>
  <si>
    <t>GPT-Llama-sol1, GPT-Llama-sol2, GPT-Llama-sol3, GPT-Llama-sol6, GPT-Llama-sol7, GPT-Llama-sol8, GPT-Llama-sol11, GPT-Llama-sol12, GPT-Llama-sol15, GPT-Llama-sol17, GPT-Llama-sol18, GPT-Llama-sol19, GPT-Llama-sol20, GPT-Llama-sol21, GPT-Llama-sol22, GPT-Llama-sol23, GPT-Llama-sol24, GPT-Llama-sol25, GPT-Llama-sol26, GPT-Llama-sol27, GPT-Llama-sol29, GPT-Llama-sol35, GPT-Llama-sol38, GPT-Llama-sol49, GPT-Llama-sol50, GPT-Llama-sol52,</t>
  </si>
  <si>
    <t>GPT-Llama-sol23, GPT-Llama-sol26, GPT-Llama-sol52,</t>
  </si>
  <si>
    <t>Claude-Llama-sol4,</t>
  </si>
  <si>
    <t>Claude-Llama-sol6,</t>
  </si>
  <si>
    <t>Claude-Llama-sol8,</t>
  </si>
  <si>
    <t>Claude-Llama-sol10,</t>
  </si>
  <si>
    <t>Claude-Llama-sol11,</t>
  </si>
  <si>
    <t>Claude-Llama-sol12,</t>
  </si>
  <si>
    <t>Claude-Llama-sol13,</t>
  </si>
  <si>
    <t>Claude-Llama-sol2, Claude-Llama-sol14,</t>
  </si>
  <si>
    <t>Claude-Llama-sol15,</t>
  </si>
  <si>
    <t>Claude-Llama-sol12, Claude-Llama-sol13, Claude-Llama-sol15, Claude-Llama-sol16,</t>
  </si>
  <si>
    <t>Claude-Llama-sol3, Claude-Llama-sol17,</t>
  </si>
  <si>
    <t>Claude-Llama-sol1, Claude-Llama-sol5, Claude-Llama-sol16, Claude-Llama-sol18,</t>
  </si>
  <si>
    <t>Claude-Llama-sol9, Claude-Llama-sol19,</t>
  </si>
  <si>
    <t>Claude-Llama-sol7, Claude-Llama-sol20,</t>
  </si>
  <si>
    <t>Claude-Llama-sol1, Claude-Llama-sol2,  Claude-Llama-sol5, Claude-Llama-sol7, Claude-Llama-sol8,  Claude-Llama-sol14, Claude-Llama-sol15, Claude-Llama-sol16, Claude-Llama-sol18, Claude-Llama-sol19, Claude-Llama-sol20,</t>
  </si>
  <si>
    <t>GPT-Llama-Sol2,</t>
  </si>
  <si>
    <t>Llama-Llama-Sol1, Llama-Llama-Sol2,</t>
  </si>
  <si>
    <t>Llama-Llama-Sol2,</t>
  </si>
  <si>
    <t>Llama-Llama-Sol3,</t>
  </si>
  <si>
    <t>Adaptive control system/algorithms</t>
  </si>
  <si>
    <t>Llama-Llama-Sol4,</t>
  </si>
  <si>
    <t>Llama-Llama-Sol3, Llama-Llama-Sol5,</t>
  </si>
  <si>
    <t>Llama-Llama-Sol6,</t>
  </si>
  <si>
    <t>Llama-Llama-Sol1, Llama-Llama-Sol5, Llama-Llama-Sol7, Llama-Llama-Sol8,</t>
  </si>
  <si>
    <t>Llama-Llama-Sol1, Llama-Llama-Sol5, Llama-Llama-Sol8,</t>
  </si>
  <si>
    <t>Llama-Llama-Sol1, Llama-Llama-Sol3, Llama-Llama-Sol5, Llama-Llama-Sol6, Llama-Llama-Sol8,</t>
  </si>
  <si>
    <t>Claude-Llama-Sol2,</t>
  </si>
  <si>
    <t>Claude-Llama-Sol3,</t>
  </si>
  <si>
    <t>Claude-Llama-Sol5,</t>
  </si>
  <si>
    <t>Claude-Llama-Sol7,</t>
  </si>
  <si>
    <t>Claude-Llama-Sol3, Claude-Llama-Sol7,</t>
  </si>
  <si>
    <t>Claude-Llama-Sol4, Claude-Llama-Sol9,</t>
  </si>
  <si>
    <t>Claude-Llama-Sol1, Claude-Llama-Sol9,</t>
  </si>
  <si>
    <t>Claude-Llama-Sol11,</t>
  </si>
  <si>
    <t>Claude-Llama-Sol12,</t>
  </si>
  <si>
    <t>Claude-Llama-Sol14,</t>
  </si>
  <si>
    <t>Claude-Llama-Sol1, Claude-Llama-Sol7, Claude-Llama-Sol8, Claude-Llama-Sol14,</t>
  </si>
  <si>
    <t>Claude-Llama-Sol3, Claude-Llama-Sol10, Claude-Llama-Sol15,</t>
  </si>
  <si>
    <t>Claude-Llama-Sol2, Claude-Llama-Sol16,</t>
  </si>
  <si>
    <t>Claude-Llama-Sol16,</t>
  </si>
  <si>
    <t>Claude-Llama-Sol17,</t>
  </si>
  <si>
    <t>Claude-Llama-Sol5, Claude-Llama-Sol10, Claude-Llama-Sol14, Claude-Llama-Sol17, Claude-Llama-Sol18,</t>
  </si>
  <si>
    <t>Claude-Llama-Sol6, Claude-Llama-Sol9, Claude-Llama-Sol18,</t>
  </si>
  <si>
    <t>Claude-Llama-Sol19,</t>
  </si>
  <si>
    <t>Claude-Llama-Sol2, Claude-Llama-Sol4, Claude-Llama-Sol5, Claude-Llama-Sol6, Claude-Llama-Sol7, Claude-Llama-Sol8,  Claude-Llama-Sol13, Claude-Llama-Sol15, Claude-Llama-Sol18, Claude-Llama-Sol19,</t>
  </si>
  <si>
    <t>Claude-Llama-Sol1, Claude-Llama-Sol6, Claude-Llama-Sol7, Claude-Llama-Sol8, Claude-Llama-Sol10, Claude-Llama-Sol12, Claude-Llama-Sol13, Claude-Llama-Sol14, Claude-Llama-Sol19,</t>
  </si>
  <si>
    <t xml:space="preserve">Claude-Llama-Sol1, Claude-Llama-Sol3, Claude-Llama-Sol4, Claude-Llama-Sol6, Claude-Llama-Sol9, Claude-Llama-Sol11, Claude-Llama-Sol15, Claude-Llama-Sol16, Claude-Llama-Sol18, </t>
  </si>
  <si>
    <t>Claude-Llama-Sol20,</t>
  </si>
  <si>
    <t>GPT-Llama-Sol4,</t>
  </si>
  <si>
    <t>GPT-Llama-Sol8,</t>
  </si>
  <si>
    <t>GPT-Llama-Sol9,</t>
  </si>
  <si>
    <t>GPT-Llama-Sol10,</t>
  </si>
  <si>
    <t>GPT-Llama-Sol6, GPT-Llama-Sol12,</t>
  </si>
  <si>
    <t>GPT-Llama-Sol8, GPT-Llama-Sol13,</t>
  </si>
  <si>
    <t>GPT-Llama-Sol3, GPT-Llama-Sol15,</t>
  </si>
  <si>
    <t>GPT-Llama-Sol2, GPT-Llama-Sol4, GPT-Llama-Sol13, GPT-Llama-Sol17,</t>
  </si>
  <si>
    <t>GPT-Llama-Sol9, GPT-Llama-Sol12, GPT-Llama-Sol15, GPT-Llama-Sol17,</t>
  </si>
  <si>
    <t>GPT-Llama-Sol5, GPT-Llama-Sol9, GPT-Llama-Sol18,</t>
  </si>
  <si>
    <t>GPT-Llama-Sol4, GPT-Llama-Sol18,</t>
  </si>
  <si>
    <t xml:space="preserve">GPT-Llama-Sol1, GPT-Llama-Sol16, </t>
  </si>
  <si>
    <t>GPT-Llama-Sol20,</t>
  </si>
  <si>
    <t>GPT-Llama-Sol1, GPT-Llama-Sol6, GPT-Llama-Sol8, GPT-Llama-Sol9, GPT-Llama-Sol10, GPT-Llama-Sol16, GPT-Llama-Sol19, GPT-Llama-Sol20, GPT-Llama-Sol21,</t>
  </si>
  <si>
    <t>GPT-Llama-Sol21,</t>
  </si>
  <si>
    <t>GPT-Llama-Sol3, GPT-Llama-Sol5, GPT-Llama-Sol7, GPT-Llama-Sol22,</t>
  </si>
  <si>
    <t>GPT-Llama-Sol12, GPT-Llama-Sol22,</t>
  </si>
  <si>
    <t>GPT-Llama-Sol1, GPT-Llama-Sol2, GPT-Llama-Sol5, GPT-Llama-Sol7, GPT-Llama-Sol8, GPT-Llama-Sol9, GPT-Llama-Sol10, GPT-Llama-Sol12, GPT-Llama-Sol13, GPT-Llama-Sol14, GPT-Llama-Sol18, GPT-Llama-Sol19, GPT-Llama-Sol21, GPT-Llama-Sol23,</t>
  </si>
  <si>
    <t>GPT-Llama-Sol12, GPT-Llama-Sol19, GPT-Llama-Sol24,</t>
  </si>
  <si>
    <t>GPT-Llama-Sol1, GPT-Llama-Sol3, GPT-Llama-Sol4, GPT-Llama-Sol5, GPT-Llama-Sol6, GPT-Llama-Sol8, GPT-Llama-Sol9, GPT-Llama-Sol10, GPT-Llama-Sol11, GPT-Llama-Sol12, GPT-Llama-Sol17, GPT-Llama-Sol18, GPT-Llama-Sol21, GPT-Llama-Sol22, GPT-Llama-Sol23, GPT-Llama-Sol24,</t>
  </si>
  <si>
    <t>GPT-Llama-Sol2, GPT-Llama-Sol3, GPT-Llama-Sol7, GPT-Llama-Sol15, GPT-Llama-Sol17, GPT-Llama-Sol22, GPT-Llama-Sol23, GPT-Llama-Sol24,</t>
  </si>
  <si>
    <t>Llma generated-GPT refined</t>
  </si>
  <si>
    <t>protected.gpt-5.2 number</t>
  </si>
  <si>
    <t>protected.Claude Sonnet 4.5 number</t>
  </si>
  <si>
    <t>protected.llama3.2 number</t>
  </si>
  <si>
    <t>GPT generated-GPT refined number</t>
  </si>
  <si>
    <t>Claude generated-GPT refined number</t>
  </si>
  <si>
    <t>Llma generated-GPT refined number</t>
  </si>
  <si>
    <t>GPT generated-Claude refined number</t>
  </si>
  <si>
    <t>Claude generated-Claude refined number</t>
  </si>
  <si>
    <t>Llama generated-Claude refined number</t>
  </si>
  <si>
    <t>GPT generated-Llama refined number</t>
  </si>
  <si>
    <t>Claude generated-Llama refined number</t>
  </si>
  <si>
    <t>Llama generated-Llama refined number</t>
  </si>
  <si>
    <t>Total number of solutions</t>
  </si>
  <si>
    <t>Average novelty</t>
  </si>
  <si>
    <t>Llama-sol7,</t>
  </si>
  <si>
    <t>Llama-sol2, Llama-sol5,</t>
  </si>
  <si>
    <t>GPT-Llama-sol1, GPT-Llama-sol16, GPT-Llama-sol25, GPT-Llama-sol34, GPT-Llama-sol42, GPT-Llama-sol43,</t>
  </si>
  <si>
    <t>GPT-Claude-Sol12, GPT-Claude-Sol13, GPT-Claude-Sol28, GPT-Claude-Sol36, GPT-Claude-Sol41,  GPT-Claude-Sol51, GPT-Claude-Sol52,</t>
  </si>
  <si>
    <t>GPT-Claude-Sol2, GPT-Claude-Sol3, GPT-Claude-Sol11, GPT-Claude-Sol12, GPT-Claude-Sol13, GPT-Claude-Sol15, GPT-Claude-Sol16, GPT-Claude-Sol24, GPT-Claude-Sol25, GPT-Claude-Sol27, GPT-Claude-Sol28, GPT-Claude-Sol52,</t>
  </si>
  <si>
    <t>GPT-5.2</t>
  </si>
  <si>
    <t>Claude Sonnet 4.5</t>
  </si>
  <si>
    <t>Llama 3.2</t>
  </si>
  <si>
    <t>Total number of concepts in each category</t>
  </si>
  <si>
    <t>Bone conduction/tissue conduction</t>
  </si>
  <si>
    <t>Color changing</t>
  </si>
  <si>
    <t>Pinching mechanism</t>
  </si>
  <si>
    <t>Ultrasonic transduce</t>
  </si>
  <si>
    <t>Magnetic/electrostatic field</t>
  </si>
  <si>
    <t>Voice contents</t>
  </si>
  <si>
    <t>Mass center shifted wearable device</t>
  </si>
  <si>
    <t>Pressure on eyes</t>
  </si>
  <si>
    <t>Shock absorb material</t>
  </si>
  <si>
    <t>Neural stimulation</t>
  </si>
  <si>
    <t xml:space="preserve">Pendulum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</si>
</sst>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6"/>
      <color theme="1"/>
      <name val="Calibri"/>
      <family val="2"/>
      <scheme val="minor"/>
    </font>
    <font>
      <u/>
      <sz val="12"/>
      <color theme="10"/>
      <name val="Calibri"/>
      <family val="2"/>
      <scheme val="minor"/>
    </font>
    <font>
      <u/>
      <sz val="12"/>
      <color theme="11"/>
      <name val="Calibri"/>
      <family val="2"/>
      <scheme val="minor"/>
    </font>
    <font>
      <sz val="12"/>
      <color rgb="FFFF0000"/>
      <name val="Calibri"/>
      <family val="2"/>
      <scheme val="minor"/>
    </font>
    <font>
      <sz val="11"/>
      <name val="Calibri"/>
      <family val="2"/>
      <scheme val="minor"/>
    </font>
    <font>
      <sz val="12"/>
      <name val="Calibri"/>
      <family val="2"/>
      <scheme val="minor"/>
    </font>
  </fonts>
  <fills count="2">
    <fill>
      <patternFill patternType="none"/>
    </fill>
    <fill>
      <patternFill patternType="gray125"/>
    </fill>
  </fills>
  <borders count="7">
    <border>
      <left/>
      <right/>
      <top/>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s>
  <cellStyleXfs count="9">
    <xf numFmtId="0" fontId="0" fillId="0" borderId="0"/>
    <xf numFmtId="0" fontId="4"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2" fillId="0" borderId="0"/>
  </cellStyleXfs>
  <cellXfs count="14">
    <xf numFmtId="0" fontId="0" fillId="0" borderId="0" xfId="0"/>
    <xf numFmtId="0" fontId="0" fillId="0" borderId="3" xfId="0" applyBorder="1" applyAlignment="1">
      <alignment wrapText="1"/>
    </xf>
    <xf numFmtId="0" fontId="0" fillId="0" borderId="5" xfId="0" applyBorder="1" applyAlignment="1">
      <alignment wrapText="1"/>
    </xf>
    <xf numFmtId="0" fontId="5" fillId="0" borderId="1" xfId="0" applyFont="1" applyBorder="1" applyAlignment="1">
      <alignment wrapText="1"/>
    </xf>
    <xf numFmtId="0" fontId="3" fillId="0" borderId="2" xfId="1" applyFont="1" applyBorder="1" applyAlignment="1">
      <alignment wrapText="1"/>
    </xf>
    <xf numFmtId="0" fontId="0" fillId="0" borderId="0" xfId="0" applyAlignment="1">
      <alignment wrapText="1"/>
    </xf>
    <xf numFmtId="0" fontId="3" fillId="0" borderId="4" xfId="1" applyFont="1" applyBorder="1" applyAlignment="1">
      <alignment wrapText="1"/>
    </xf>
    <xf numFmtId="0" fontId="0" fillId="0" borderId="4" xfId="1" applyFont="1" applyBorder="1" applyAlignment="1">
      <alignment wrapText="1"/>
    </xf>
    <xf numFmtId="0" fontId="5" fillId="0" borderId="0" xfId="0" applyFont="1"/>
    <xf numFmtId="0" fontId="8" fillId="0" borderId="6" xfId="0" applyFont="1" applyBorder="1" applyAlignment="1">
      <alignment wrapText="1"/>
    </xf>
    <xf numFmtId="0" fontId="5" fillId="0" borderId="0" xfId="0" applyFont="1" applyAlignment="1">
      <alignment wrapText="1"/>
    </xf>
    <xf numFmtId="0" fontId="2" fillId="0" borderId="0" xfId="8" applyAlignment="1">
      <alignment wrapText="1"/>
    </xf>
    <xf numFmtId="0" fontId="9" fillId="0" borderId="0" xfId="0" applyFont="1" applyAlignment="1">
      <alignment wrapText="1"/>
    </xf>
    <xf numFmtId="0" fontId="10" fillId="0" borderId="0" xfId="0" applyFont="1" applyAlignment="1">
      <alignment wrapText="1"/>
    </xf>
  </cellXfs>
  <cellStyles count="9">
    <cellStyle name="Followed Hyperlink" xfId="3" builtinId="9" hidden="1"/>
    <cellStyle name="Followed Hyperlink" xfId="5" builtinId="9" hidden="1"/>
    <cellStyle name="Hyperlink" xfId="2" builtinId="8" hidden="1"/>
    <cellStyle name="Hyperlink" xfId="4" builtinId="8" hidden="1"/>
    <cellStyle name="Normal" xfId="0" builtinId="0"/>
    <cellStyle name="Normal 2" xfId="1" xr:uid="{00000000-0005-0000-0000-000005000000}"/>
    <cellStyle name="Normal 2 2" xfId="7" xr:uid="{36FFF4C3-F604-4898-B01C-04D2687038D2}"/>
    <cellStyle name="Normal 3" xfId="8" xr:uid="{18A6A5EC-0DE7-440B-876C-9DFED1F4C9B5}"/>
    <cellStyle name="Normal 4" xfId="6" xr:uid="{7F0CBD57-D9EF-4AEB-8D37-12BD0D17A29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A716-B7F0-4AF2-877B-AFE8C904419B}">
  <dimension ref="A1:AA42"/>
  <sheetViews>
    <sheetView tabSelected="1" topLeftCell="T28" workbookViewId="0">
      <selection activeCell="V49" sqref="V49"/>
    </sheetView>
  </sheetViews>
  <sheetFormatPr defaultColWidth="34.125" defaultRowHeight="15.75" x14ac:dyDescent="0.25"/>
  <cols>
    <col min="1" max="1" width="33.25" style="5" bestFit="1" customWidth="1"/>
    <col min="2" max="2" width="33.125" style="5" bestFit="1" customWidth="1"/>
    <col min="3" max="3" width="34" style="5" bestFit="1" customWidth="1"/>
    <col min="4" max="4" width="30.625" style="5" bestFit="1" customWidth="1"/>
    <col min="5" max="5" width="34.125" style="5" customWidth="1"/>
    <col min="6" max="6" width="32" style="5" bestFit="1" customWidth="1"/>
    <col min="7" max="7" width="34" style="5" bestFit="1" customWidth="1"/>
    <col min="8" max="8" width="33.875" style="5" bestFit="1" customWidth="1"/>
    <col min="9" max="9" width="31.875" style="5" bestFit="1" customWidth="1"/>
    <col min="10" max="10" width="33.25" style="5" bestFit="1" customWidth="1"/>
    <col min="11" max="11" width="34" style="5" bestFit="1" customWidth="1"/>
    <col min="12" max="12" width="33.25" style="5" bestFit="1" customWidth="1"/>
    <col min="13" max="13" width="31.75" style="5" bestFit="1" customWidth="1"/>
    <col min="14" max="14" width="30" bestFit="1" customWidth="1"/>
    <col min="15" max="15" width="32.875" bestFit="1" customWidth="1"/>
    <col min="16" max="16" width="31.625" bestFit="1" customWidth="1"/>
    <col min="17" max="17" width="31.25" bestFit="1" customWidth="1"/>
    <col min="18" max="18" width="25.75" bestFit="1" customWidth="1"/>
    <col min="19" max="19" width="32.125" bestFit="1" customWidth="1"/>
    <col min="20" max="20" width="25.75" bestFit="1" customWidth="1"/>
    <col min="21" max="21" width="28.875" bestFit="1" customWidth="1"/>
    <col min="22" max="22" width="27.875" bestFit="1" customWidth="1"/>
    <col min="23" max="23" width="33.375" bestFit="1" customWidth="1"/>
    <col min="24" max="24" width="27.875" bestFit="1" customWidth="1"/>
    <col min="25" max="25" width="26.875" bestFit="1" customWidth="1"/>
    <col min="26" max="26" width="20.625" customWidth="1"/>
    <col min="27" max="27" width="14" bestFit="1" customWidth="1"/>
    <col min="28" max="16384" width="34.125" style="5"/>
  </cols>
  <sheetData>
    <row r="1" spans="1:27" ht="63.75" thickBot="1" x14ac:dyDescent="0.4">
      <c r="A1" s="3" t="s">
        <v>56</v>
      </c>
      <c r="B1" s="10" t="s">
        <v>499</v>
      </c>
      <c r="C1" s="10" t="s">
        <v>500</v>
      </c>
      <c r="D1" s="10" t="s">
        <v>501</v>
      </c>
      <c r="E1" s="10" t="s">
        <v>278</v>
      </c>
      <c r="F1" s="10" t="s">
        <v>277</v>
      </c>
      <c r="G1" s="10" t="s">
        <v>276</v>
      </c>
      <c r="H1" s="10" t="s">
        <v>279</v>
      </c>
      <c r="I1" s="10" t="s">
        <v>280</v>
      </c>
      <c r="J1" s="10" t="s">
        <v>281</v>
      </c>
      <c r="K1" s="10" t="s">
        <v>375</v>
      </c>
      <c r="L1" s="10" t="s">
        <v>376</v>
      </c>
      <c r="M1" s="10" t="s">
        <v>377</v>
      </c>
      <c r="N1" s="10" t="s">
        <v>480</v>
      </c>
      <c r="O1" s="10" t="s">
        <v>481</v>
      </c>
      <c r="P1" s="10" t="s">
        <v>482</v>
      </c>
      <c r="Q1" s="10" t="s">
        <v>483</v>
      </c>
      <c r="R1" s="10" t="s">
        <v>484</v>
      </c>
      <c r="S1" s="10" t="s">
        <v>485</v>
      </c>
      <c r="T1" s="10" t="s">
        <v>486</v>
      </c>
      <c r="U1" s="10" t="s">
        <v>487</v>
      </c>
      <c r="V1" s="10" t="s">
        <v>488</v>
      </c>
      <c r="W1" s="10" t="s">
        <v>489</v>
      </c>
      <c r="X1" s="10" t="s">
        <v>490</v>
      </c>
      <c r="Y1" s="10" t="s">
        <v>491</v>
      </c>
      <c r="Z1" s="10" t="s">
        <v>502</v>
      </c>
      <c r="AA1" s="10" t="s">
        <v>493</v>
      </c>
    </row>
    <row r="2" spans="1:27" x14ac:dyDescent="0.25">
      <c r="A2" s="11" t="s">
        <v>62</v>
      </c>
      <c r="B2" s="5" t="s">
        <v>105</v>
      </c>
      <c r="E2" s="5" t="s">
        <v>216</v>
      </c>
      <c r="G2" s="5" t="s">
        <v>240</v>
      </c>
      <c r="J2" s="5" t="s">
        <v>320</v>
      </c>
      <c r="K2" s="5" t="s">
        <v>392</v>
      </c>
      <c r="N2">
        <f t="shared" ref="N2:Y22" si="0">LEN(B2)-LEN(SUBSTITUTE(B2,",",""))</f>
        <v>2</v>
      </c>
      <c r="O2">
        <f t="shared" ref="O2:Y13" si="1">LEN(C2)-LEN(SUBSTITUTE(C2,",",""))</f>
        <v>0</v>
      </c>
      <c r="P2">
        <f t="shared" si="1"/>
        <v>0</v>
      </c>
      <c r="Q2">
        <f t="shared" si="1"/>
        <v>1</v>
      </c>
      <c r="R2">
        <f t="shared" si="1"/>
        <v>0</v>
      </c>
      <c r="S2">
        <f t="shared" si="1"/>
        <v>2</v>
      </c>
      <c r="T2">
        <f t="shared" si="1"/>
        <v>0</v>
      </c>
      <c r="U2">
        <f t="shared" si="1"/>
        <v>0</v>
      </c>
      <c r="V2">
        <f t="shared" si="1"/>
        <v>1</v>
      </c>
      <c r="W2">
        <f t="shared" si="1"/>
        <v>1</v>
      </c>
      <c r="X2">
        <f t="shared" si="1"/>
        <v>0</v>
      </c>
      <c r="Y2">
        <f t="shared" si="1"/>
        <v>0</v>
      </c>
      <c r="Z2">
        <f>SUM(N2:Y2)</f>
        <v>7</v>
      </c>
      <c r="AA2">
        <f t="shared" ref="AA2:AA40" si="2">IF(1-Z2/$Z$42=1,"",1-Z2/$Z$42)</f>
        <v>0.97812500000000002</v>
      </c>
    </row>
    <row r="3" spans="1:27" ht="157.5" x14ac:dyDescent="0.25">
      <c r="A3" s="11" t="s">
        <v>63</v>
      </c>
      <c r="B3" s="5" t="s">
        <v>110</v>
      </c>
      <c r="C3" s="5" t="s">
        <v>122</v>
      </c>
      <c r="D3" s="5" t="s">
        <v>128</v>
      </c>
      <c r="E3" s="5" t="s">
        <v>222</v>
      </c>
      <c r="F3" s="5" t="s">
        <v>232</v>
      </c>
      <c r="G3" s="5" t="s">
        <v>246</v>
      </c>
      <c r="H3" s="5" t="s">
        <v>354</v>
      </c>
      <c r="I3" s="5" t="s">
        <v>366</v>
      </c>
      <c r="J3" s="5" t="s">
        <v>324</v>
      </c>
      <c r="K3" s="5" t="s">
        <v>407</v>
      </c>
      <c r="L3" s="5" t="s">
        <v>421</v>
      </c>
      <c r="N3">
        <f t="shared" si="0"/>
        <v>11</v>
      </c>
      <c r="O3">
        <f t="shared" si="1"/>
        <v>3</v>
      </c>
      <c r="P3">
        <f t="shared" si="1"/>
        <v>1</v>
      </c>
      <c r="Q3">
        <f t="shared" si="1"/>
        <v>24</v>
      </c>
      <c r="R3">
        <f t="shared" si="1"/>
        <v>8</v>
      </c>
      <c r="S3">
        <f t="shared" si="1"/>
        <v>3</v>
      </c>
      <c r="T3">
        <f t="shared" si="1"/>
        <v>8</v>
      </c>
      <c r="U3">
        <f t="shared" si="1"/>
        <v>3</v>
      </c>
      <c r="V3">
        <f t="shared" si="1"/>
        <v>1</v>
      </c>
      <c r="W3">
        <f t="shared" si="1"/>
        <v>16</v>
      </c>
      <c r="X3">
        <f t="shared" si="1"/>
        <v>4</v>
      </c>
      <c r="Y3">
        <f t="shared" si="1"/>
        <v>0</v>
      </c>
      <c r="Z3">
        <f t="shared" ref="Z2:Z22" si="3">SUM(N3:Y3)</f>
        <v>82</v>
      </c>
      <c r="AA3">
        <f t="shared" si="2"/>
        <v>0.74375000000000002</v>
      </c>
    </row>
    <row r="4" spans="1:27" x14ac:dyDescent="0.25">
      <c r="A4" s="11" t="s">
        <v>64</v>
      </c>
      <c r="E4" s="5" t="s">
        <v>208</v>
      </c>
      <c r="H4" s="5" t="s">
        <v>319</v>
      </c>
      <c r="N4">
        <f t="shared" si="0"/>
        <v>0</v>
      </c>
      <c r="O4">
        <f t="shared" si="1"/>
        <v>0</v>
      </c>
      <c r="P4">
        <f t="shared" si="1"/>
        <v>0</v>
      </c>
      <c r="Q4">
        <f t="shared" si="1"/>
        <v>1</v>
      </c>
      <c r="R4">
        <f t="shared" si="1"/>
        <v>0</v>
      </c>
      <c r="S4">
        <f t="shared" si="1"/>
        <v>0</v>
      </c>
      <c r="T4">
        <f t="shared" si="1"/>
        <v>1</v>
      </c>
      <c r="U4">
        <f t="shared" si="1"/>
        <v>0</v>
      </c>
      <c r="V4">
        <f t="shared" si="1"/>
        <v>0</v>
      </c>
      <c r="W4">
        <f t="shared" si="1"/>
        <v>0</v>
      </c>
      <c r="X4">
        <f t="shared" si="1"/>
        <v>0</v>
      </c>
      <c r="Y4">
        <f t="shared" si="1"/>
        <v>0</v>
      </c>
      <c r="Z4">
        <f t="shared" si="3"/>
        <v>2</v>
      </c>
      <c r="AA4">
        <f t="shared" si="2"/>
        <v>0.99375000000000002</v>
      </c>
    </row>
    <row r="5" spans="1:27" x14ac:dyDescent="0.25">
      <c r="A5" s="11" t="s">
        <v>65</v>
      </c>
      <c r="B5" s="5" t="s">
        <v>107</v>
      </c>
      <c r="C5" s="5" t="s">
        <v>115</v>
      </c>
      <c r="E5" s="5" t="s">
        <v>218</v>
      </c>
      <c r="G5" s="5" t="s">
        <v>242</v>
      </c>
      <c r="H5" s="5" t="s">
        <v>283</v>
      </c>
      <c r="I5" s="5" t="s">
        <v>307</v>
      </c>
      <c r="K5" s="5" t="s">
        <v>394</v>
      </c>
      <c r="L5" s="5" t="s">
        <v>413</v>
      </c>
      <c r="N5">
        <f t="shared" si="0"/>
        <v>2</v>
      </c>
      <c r="O5">
        <f t="shared" si="1"/>
        <v>1</v>
      </c>
      <c r="P5">
        <f t="shared" si="1"/>
        <v>0</v>
      </c>
      <c r="Q5">
        <f t="shared" si="1"/>
        <v>2</v>
      </c>
      <c r="R5">
        <f t="shared" si="1"/>
        <v>0</v>
      </c>
      <c r="S5">
        <f t="shared" si="1"/>
        <v>1</v>
      </c>
      <c r="T5">
        <f t="shared" si="1"/>
        <v>1</v>
      </c>
      <c r="U5">
        <f t="shared" si="1"/>
        <v>1</v>
      </c>
      <c r="V5">
        <f t="shared" si="1"/>
        <v>0</v>
      </c>
      <c r="W5">
        <f t="shared" si="1"/>
        <v>1</v>
      </c>
      <c r="X5">
        <f t="shared" si="1"/>
        <v>1</v>
      </c>
      <c r="Y5">
        <f t="shared" si="1"/>
        <v>0</v>
      </c>
      <c r="Z5">
        <f t="shared" si="3"/>
        <v>10</v>
      </c>
      <c r="AA5">
        <f t="shared" si="2"/>
        <v>0.96875</v>
      </c>
    </row>
    <row r="6" spans="1:27" x14ac:dyDescent="0.25">
      <c r="A6" s="11" t="s">
        <v>92</v>
      </c>
      <c r="B6" s="5" t="s">
        <v>91</v>
      </c>
      <c r="E6" s="5" t="s">
        <v>201</v>
      </c>
      <c r="K6" s="5" t="s">
        <v>389</v>
      </c>
      <c r="N6">
        <f t="shared" si="0"/>
        <v>1</v>
      </c>
      <c r="O6">
        <f t="shared" si="1"/>
        <v>0</v>
      </c>
      <c r="P6">
        <f t="shared" si="1"/>
        <v>0</v>
      </c>
      <c r="Q6">
        <f t="shared" si="1"/>
        <v>1</v>
      </c>
      <c r="R6">
        <f t="shared" si="1"/>
        <v>0</v>
      </c>
      <c r="S6">
        <f t="shared" si="1"/>
        <v>0</v>
      </c>
      <c r="T6">
        <f t="shared" si="1"/>
        <v>0</v>
      </c>
      <c r="U6">
        <f t="shared" si="1"/>
        <v>0</v>
      </c>
      <c r="V6">
        <f t="shared" si="1"/>
        <v>0</v>
      </c>
      <c r="W6">
        <f t="shared" si="1"/>
        <v>1</v>
      </c>
      <c r="X6">
        <f t="shared" si="1"/>
        <v>0</v>
      </c>
      <c r="Y6">
        <f t="shared" si="1"/>
        <v>0</v>
      </c>
      <c r="Z6">
        <f t="shared" si="3"/>
        <v>3</v>
      </c>
      <c r="AA6">
        <f t="shared" si="2"/>
        <v>0.99062499999999998</v>
      </c>
    </row>
    <row r="7" spans="1:27" ht="31.5" x14ac:dyDescent="0.25">
      <c r="A7" s="11" t="s">
        <v>66</v>
      </c>
      <c r="B7" s="5" t="s">
        <v>104</v>
      </c>
      <c r="C7" s="5" t="s">
        <v>119</v>
      </c>
      <c r="E7" s="5" t="s">
        <v>213</v>
      </c>
      <c r="F7" s="5" t="s">
        <v>228</v>
      </c>
      <c r="H7" s="5" t="s">
        <v>316</v>
      </c>
      <c r="I7" s="5" t="s">
        <v>362</v>
      </c>
      <c r="J7" s="5" t="s">
        <v>332</v>
      </c>
      <c r="K7" s="5" t="s">
        <v>402</v>
      </c>
      <c r="L7" s="5" t="s">
        <v>417</v>
      </c>
      <c r="N7">
        <f t="shared" si="0"/>
        <v>4</v>
      </c>
      <c r="O7">
        <f t="shared" si="1"/>
        <v>2</v>
      </c>
      <c r="P7">
        <f t="shared" si="1"/>
        <v>0</v>
      </c>
      <c r="Q7">
        <f t="shared" si="1"/>
        <v>4</v>
      </c>
      <c r="R7">
        <f t="shared" si="1"/>
        <v>2</v>
      </c>
      <c r="S7">
        <f t="shared" si="1"/>
        <v>0</v>
      </c>
      <c r="T7">
        <f t="shared" si="1"/>
        <v>2</v>
      </c>
      <c r="U7">
        <f t="shared" si="1"/>
        <v>1</v>
      </c>
      <c r="V7">
        <f t="shared" si="1"/>
        <v>1</v>
      </c>
      <c r="W7">
        <f t="shared" si="1"/>
        <v>4</v>
      </c>
      <c r="X7">
        <f t="shared" si="1"/>
        <v>2</v>
      </c>
      <c r="Y7">
        <f t="shared" si="1"/>
        <v>0</v>
      </c>
      <c r="Z7">
        <f t="shared" si="3"/>
        <v>22</v>
      </c>
      <c r="AA7">
        <f t="shared" si="2"/>
        <v>0.93125000000000002</v>
      </c>
    </row>
    <row r="8" spans="1:27" ht="47.25" x14ac:dyDescent="0.25">
      <c r="A8" s="11" t="s">
        <v>67</v>
      </c>
      <c r="B8" s="5" t="s">
        <v>108</v>
      </c>
      <c r="D8" s="5" t="s">
        <v>495</v>
      </c>
      <c r="E8" s="5" t="s">
        <v>215</v>
      </c>
      <c r="G8" s="5" t="s">
        <v>244</v>
      </c>
      <c r="I8" s="5" t="s">
        <v>310</v>
      </c>
      <c r="K8" s="5" t="s">
        <v>404</v>
      </c>
      <c r="M8" s="5" t="s">
        <v>378</v>
      </c>
      <c r="N8">
        <f t="shared" si="0"/>
        <v>7</v>
      </c>
      <c r="O8">
        <f t="shared" si="1"/>
        <v>0</v>
      </c>
      <c r="P8">
        <f t="shared" si="1"/>
        <v>2</v>
      </c>
      <c r="Q8">
        <f t="shared" si="1"/>
        <v>5</v>
      </c>
      <c r="R8">
        <f t="shared" si="1"/>
        <v>0</v>
      </c>
      <c r="S8">
        <f t="shared" si="1"/>
        <v>4</v>
      </c>
      <c r="T8">
        <f t="shared" si="1"/>
        <v>0</v>
      </c>
      <c r="U8">
        <f t="shared" si="1"/>
        <v>1</v>
      </c>
      <c r="V8">
        <f t="shared" si="1"/>
        <v>0</v>
      </c>
      <c r="W8">
        <f t="shared" si="1"/>
        <v>5</v>
      </c>
      <c r="X8">
        <f t="shared" si="1"/>
        <v>0</v>
      </c>
      <c r="Y8">
        <f t="shared" si="1"/>
        <v>1</v>
      </c>
      <c r="Z8">
        <f t="shared" si="3"/>
        <v>25</v>
      </c>
      <c r="AA8">
        <f t="shared" si="2"/>
        <v>0.921875</v>
      </c>
    </row>
    <row r="9" spans="1:27" x14ac:dyDescent="0.25">
      <c r="A9" s="11" t="s">
        <v>68</v>
      </c>
      <c r="B9" s="5" t="s">
        <v>97</v>
      </c>
      <c r="E9" s="5" t="s">
        <v>208</v>
      </c>
      <c r="H9" s="5" t="s">
        <v>319</v>
      </c>
      <c r="K9" s="5" t="s">
        <v>397</v>
      </c>
      <c r="N9">
        <f t="shared" si="0"/>
        <v>1</v>
      </c>
      <c r="O9">
        <f t="shared" si="1"/>
        <v>0</v>
      </c>
      <c r="P9">
        <f t="shared" si="1"/>
        <v>0</v>
      </c>
      <c r="Q9">
        <f t="shared" si="1"/>
        <v>1</v>
      </c>
      <c r="R9">
        <f t="shared" si="1"/>
        <v>0</v>
      </c>
      <c r="S9">
        <f t="shared" si="1"/>
        <v>0</v>
      </c>
      <c r="T9">
        <f t="shared" si="1"/>
        <v>1</v>
      </c>
      <c r="U9">
        <f t="shared" si="1"/>
        <v>0</v>
      </c>
      <c r="V9">
        <f t="shared" si="1"/>
        <v>0</v>
      </c>
      <c r="W9">
        <f t="shared" si="1"/>
        <v>1</v>
      </c>
      <c r="X9">
        <f t="shared" si="1"/>
        <v>0</v>
      </c>
      <c r="Y9">
        <f t="shared" si="1"/>
        <v>0</v>
      </c>
      <c r="Z9">
        <f t="shared" si="3"/>
        <v>4</v>
      </c>
      <c r="AA9">
        <f t="shared" si="2"/>
        <v>0.98750000000000004</v>
      </c>
    </row>
    <row r="10" spans="1:27" ht="63" x14ac:dyDescent="0.25">
      <c r="A10" s="11" t="s">
        <v>69</v>
      </c>
      <c r="B10" s="5" t="s">
        <v>99</v>
      </c>
      <c r="C10" s="5" t="s">
        <v>117</v>
      </c>
      <c r="E10" s="5" t="s">
        <v>209</v>
      </c>
      <c r="F10" s="5" t="s">
        <v>233</v>
      </c>
      <c r="H10" s="5" t="s">
        <v>350</v>
      </c>
      <c r="J10" s="5" t="s">
        <v>323</v>
      </c>
      <c r="K10" s="5" t="s">
        <v>387</v>
      </c>
      <c r="L10" s="5" t="s">
        <v>415</v>
      </c>
      <c r="N10">
        <f t="shared" si="0"/>
        <v>2</v>
      </c>
      <c r="O10">
        <f t="shared" si="1"/>
        <v>1</v>
      </c>
      <c r="P10">
        <f t="shared" si="1"/>
        <v>0</v>
      </c>
      <c r="Q10">
        <f t="shared" si="1"/>
        <v>3</v>
      </c>
      <c r="R10">
        <f t="shared" si="1"/>
        <v>4</v>
      </c>
      <c r="S10">
        <f t="shared" si="1"/>
        <v>0</v>
      </c>
      <c r="T10">
        <f t="shared" si="1"/>
        <v>8</v>
      </c>
      <c r="U10">
        <f t="shared" si="1"/>
        <v>0</v>
      </c>
      <c r="V10">
        <f t="shared" si="1"/>
        <v>2</v>
      </c>
      <c r="W10">
        <f t="shared" si="1"/>
        <v>1</v>
      </c>
      <c r="X10">
        <f t="shared" si="1"/>
        <v>1</v>
      </c>
      <c r="Y10">
        <f t="shared" si="1"/>
        <v>0</v>
      </c>
      <c r="Z10">
        <f t="shared" si="3"/>
        <v>22</v>
      </c>
      <c r="AA10">
        <f t="shared" si="2"/>
        <v>0.93125000000000002</v>
      </c>
    </row>
    <row r="11" spans="1:27" x14ac:dyDescent="0.25">
      <c r="A11" s="11" t="s">
        <v>70</v>
      </c>
      <c r="E11" s="5" t="s">
        <v>176</v>
      </c>
      <c r="I11" s="5" t="s">
        <v>361</v>
      </c>
      <c r="K11" s="5" t="s">
        <v>388</v>
      </c>
      <c r="L11" s="5" t="s">
        <v>411</v>
      </c>
      <c r="N11">
        <f t="shared" si="0"/>
        <v>0</v>
      </c>
      <c r="O11">
        <f t="shared" si="1"/>
        <v>0</v>
      </c>
      <c r="P11">
        <f t="shared" si="1"/>
        <v>0</v>
      </c>
      <c r="Q11">
        <f t="shared" si="1"/>
        <v>1</v>
      </c>
      <c r="R11">
        <f t="shared" si="1"/>
        <v>0</v>
      </c>
      <c r="S11">
        <f t="shared" si="1"/>
        <v>0</v>
      </c>
      <c r="T11">
        <f t="shared" si="1"/>
        <v>0</v>
      </c>
      <c r="U11">
        <f t="shared" si="1"/>
        <v>1</v>
      </c>
      <c r="V11">
        <f t="shared" si="1"/>
        <v>0</v>
      </c>
      <c r="W11">
        <f t="shared" si="1"/>
        <v>2</v>
      </c>
      <c r="X11">
        <f t="shared" si="1"/>
        <v>1</v>
      </c>
      <c r="Y11">
        <f t="shared" si="1"/>
        <v>0</v>
      </c>
      <c r="Z11">
        <f t="shared" si="3"/>
        <v>5</v>
      </c>
      <c r="AA11">
        <f t="shared" si="2"/>
        <v>0.984375</v>
      </c>
    </row>
    <row r="12" spans="1:27" ht="47.25" x14ac:dyDescent="0.25">
      <c r="A12" s="11" t="s">
        <v>71</v>
      </c>
      <c r="B12" s="5" t="s">
        <v>86</v>
      </c>
      <c r="C12" s="5" t="s">
        <v>125</v>
      </c>
      <c r="E12" s="5" t="s">
        <v>177</v>
      </c>
      <c r="F12" s="5" t="s">
        <v>236</v>
      </c>
      <c r="H12" s="5" t="s">
        <v>318</v>
      </c>
      <c r="I12" s="5" t="s">
        <v>369</v>
      </c>
      <c r="K12" s="5" t="s">
        <v>383</v>
      </c>
      <c r="L12" s="5" t="s">
        <v>412</v>
      </c>
      <c r="N12">
        <f t="shared" si="0"/>
        <v>1</v>
      </c>
      <c r="O12">
        <f t="shared" si="1"/>
        <v>3</v>
      </c>
      <c r="P12">
        <f t="shared" si="1"/>
        <v>0</v>
      </c>
      <c r="Q12">
        <f t="shared" si="1"/>
        <v>1</v>
      </c>
      <c r="R12">
        <f t="shared" si="1"/>
        <v>3</v>
      </c>
      <c r="S12">
        <f t="shared" si="1"/>
        <v>0</v>
      </c>
      <c r="T12">
        <f t="shared" si="1"/>
        <v>5</v>
      </c>
      <c r="U12">
        <f t="shared" si="1"/>
        <v>4</v>
      </c>
      <c r="V12">
        <f t="shared" si="1"/>
        <v>0</v>
      </c>
      <c r="W12">
        <f t="shared" si="1"/>
        <v>1</v>
      </c>
      <c r="X12">
        <f t="shared" si="1"/>
        <v>1</v>
      </c>
      <c r="Y12">
        <f t="shared" si="1"/>
        <v>0</v>
      </c>
      <c r="Z12">
        <f t="shared" si="3"/>
        <v>19</v>
      </c>
      <c r="AA12">
        <f t="shared" si="2"/>
        <v>0.94062500000000004</v>
      </c>
    </row>
    <row r="13" spans="1:27" ht="63" x14ac:dyDescent="0.25">
      <c r="A13" s="11" t="s">
        <v>72</v>
      </c>
      <c r="B13" s="5" t="s">
        <v>88</v>
      </c>
      <c r="C13" s="5" t="s">
        <v>113</v>
      </c>
      <c r="E13" s="5" t="s">
        <v>179</v>
      </c>
      <c r="F13" s="5" t="s">
        <v>227</v>
      </c>
      <c r="H13" s="5" t="s">
        <v>355</v>
      </c>
      <c r="I13" s="5" t="s">
        <v>368</v>
      </c>
      <c r="J13" s="5" t="s">
        <v>373</v>
      </c>
      <c r="K13" s="5" t="s">
        <v>384</v>
      </c>
      <c r="L13" s="5" t="s">
        <v>410</v>
      </c>
      <c r="N13">
        <f t="shared" si="0"/>
        <v>2</v>
      </c>
      <c r="O13">
        <f t="shared" si="1"/>
        <v>1</v>
      </c>
      <c r="P13">
        <f t="shared" si="1"/>
        <v>0</v>
      </c>
      <c r="Q13">
        <f t="shared" si="1"/>
        <v>1</v>
      </c>
      <c r="R13">
        <f t="shared" si="1"/>
        <v>2</v>
      </c>
      <c r="S13">
        <f t="shared" si="1"/>
        <v>0</v>
      </c>
      <c r="T13">
        <f t="shared" si="1"/>
        <v>8</v>
      </c>
      <c r="U13">
        <f t="shared" si="1"/>
        <v>3</v>
      </c>
      <c r="V13">
        <f t="shared" si="1"/>
        <v>2</v>
      </c>
      <c r="W13">
        <f t="shared" si="1"/>
        <v>2</v>
      </c>
      <c r="X13">
        <f t="shared" si="1"/>
        <v>1</v>
      </c>
      <c r="Y13">
        <f t="shared" si="1"/>
        <v>0</v>
      </c>
      <c r="Z13">
        <f t="shared" si="3"/>
        <v>22</v>
      </c>
      <c r="AA13">
        <f t="shared" si="2"/>
        <v>0.93125000000000002</v>
      </c>
    </row>
    <row r="14" spans="1:27" ht="31.5" x14ac:dyDescent="0.25">
      <c r="A14" s="11" t="s">
        <v>73</v>
      </c>
      <c r="B14" s="5" t="s">
        <v>109</v>
      </c>
      <c r="C14" s="5" t="s">
        <v>126</v>
      </c>
      <c r="E14" s="5" t="s">
        <v>178</v>
      </c>
      <c r="F14" s="5" t="s">
        <v>235</v>
      </c>
      <c r="H14" s="5" t="s">
        <v>352</v>
      </c>
      <c r="J14" s="5" t="s">
        <v>372</v>
      </c>
      <c r="K14" s="5" t="s">
        <v>385</v>
      </c>
      <c r="L14" s="5" t="s">
        <v>423</v>
      </c>
      <c r="N14">
        <f t="shared" si="0"/>
        <v>3</v>
      </c>
      <c r="O14">
        <f t="shared" si="0"/>
        <v>2</v>
      </c>
      <c r="P14">
        <f t="shared" si="0"/>
        <v>0</v>
      </c>
      <c r="Q14">
        <f t="shared" si="0"/>
        <v>2</v>
      </c>
      <c r="R14">
        <f t="shared" si="0"/>
        <v>4</v>
      </c>
      <c r="S14">
        <f t="shared" si="0"/>
        <v>0</v>
      </c>
      <c r="T14">
        <f t="shared" si="0"/>
        <v>3</v>
      </c>
      <c r="U14">
        <f t="shared" si="0"/>
        <v>0</v>
      </c>
      <c r="V14">
        <f t="shared" si="0"/>
        <v>3</v>
      </c>
      <c r="W14">
        <f t="shared" si="0"/>
        <v>4</v>
      </c>
      <c r="X14">
        <f t="shared" si="0"/>
        <v>2</v>
      </c>
      <c r="Y14">
        <f t="shared" si="0"/>
        <v>0</v>
      </c>
      <c r="Z14">
        <f t="shared" si="3"/>
        <v>23</v>
      </c>
      <c r="AA14">
        <f t="shared" si="2"/>
        <v>0.92812499999999998</v>
      </c>
    </row>
    <row r="15" spans="1:27" x14ac:dyDescent="0.25">
      <c r="A15" s="11" t="s">
        <v>513</v>
      </c>
      <c r="H15" s="5" t="s">
        <v>347</v>
      </c>
      <c r="N15">
        <f t="shared" si="0"/>
        <v>0</v>
      </c>
      <c r="O15">
        <f t="shared" si="0"/>
        <v>0</v>
      </c>
      <c r="P15">
        <f t="shared" si="0"/>
        <v>0</v>
      </c>
      <c r="Q15">
        <f t="shared" si="0"/>
        <v>0</v>
      </c>
      <c r="R15">
        <f t="shared" si="0"/>
        <v>0</v>
      </c>
      <c r="S15">
        <f t="shared" si="0"/>
        <v>0</v>
      </c>
      <c r="T15">
        <f t="shared" si="0"/>
        <v>1</v>
      </c>
      <c r="U15">
        <f t="shared" si="0"/>
        <v>0</v>
      </c>
      <c r="V15">
        <f t="shared" si="0"/>
        <v>0</v>
      </c>
      <c r="W15">
        <f t="shared" si="0"/>
        <v>0</v>
      </c>
      <c r="X15">
        <f t="shared" si="0"/>
        <v>0</v>
      </c>
      <c r="Y15">
        <f t="shared" si="0"/>
        <v>0</v>
      </c>
      <c r="Z15">
        <f t="shared" si="3"/>
        <v>1</v>
      </c>
      <c r="AA15">
        <f t="shared" si="2"/>
        <v>0.99687499999999996</v>
      </c>
    </row>
    <row r="16" spans="1:27" x14ac:dyDescent="0.25">
      <c r="A16" s="11" t="s">
        <v>74</v>
      </c>
      <c r="I16" s="5" t="s">
        <v>360</v>
      </c>
      <c r="J16" s="5" t="s">
        <v>332</v>
      </c>
      <c r="N16">
        <f t="shared" si="0"/>
        <v>0</v>
      </c>
      <c r="O16">
        <f t="shared" si="0"/>
        <v>0</v>
      </c>
      <c r="P16">
        <f t="shared" si="0"/>
        <v>0</v>
      </c>
      <c r="Q16">
        <f t="shared" si="0"/>
        <v>0</v>
      </c>
      <c r="R16">
        <f t="shared" si="0"/>
        <v>0</v>
      </c>
      <c r="S16">
        <f t="shared" si="0"/>
        <v>0</v>
      </c>
      <c r="T16">
        <f t="shared" si="0"/>
        <v>0</v>
      </c>
      <c r="U16">
        <f t="shared" si="0"/>
        <v>1</v>
      </c>
      <c r="V16">
        <f t="shared" si="0"/>
        <v>1</v>
      </c>
      <c r="W16">
        <f t="shared" si="0"/>
        <v>0</v>
      </c>
      <c r="X16">
        <f t="shared" si="0"/>
        <v>0</v>
      </c>
      <c r="Y16">
        <f t="shared" si="0"/>
        <v>0</v>
      </c>
      <c r="Z16">
        <f t="shared" si="3"/>
        <v>2</v>
      </c>
      <c r="AA16">
        <f t="shared" si="2"/>
        <v>0.99375000000000002</v>
      </c>
    </row>
    <row r="17" spans="1:27" ht="78.75" x14ac:dyDescent="0.25">
      <c r="A17" s="11" t="s">
        <v>75</v>
      </c>
      <c r="B17" s="5" t="s">
        <v>101</v>
      </c>
      <c r="C17" s="5" t="s">
        <v>121</v>
      </c>
      <c r="D17" s="5" t="s">
        <v>494</v>
      </c>
      <c r="E17" s="5" t="s">
        <v>212</v>
      </c>
      <c r="F17" s="5" t="s">
        <v>237</v>
      </c>
      <c r="G17" s="5" t="s">
        <v>245</v>
      </c>
      <c r="H17" s="5" t="s">
        <v>353</v>
      </c>
      <c r="I17" s="5" t="s">
        <v>364</v>
      </c>
      <c r="J17" s="5" t="s">
        <v>371</v>
      </c>
      <c r="K17" s="5" t="s">
        <v>399</v>
      </c>
      <c r="L17" s="5" t="s">
        <v>420</v>
      </c>
      <c r="N17">
        <f t="shared" si="0"/>
        <v>4</v>
      </c>
      <c r="O17">
        <f t="shared" si="0"/>
        <v>2</v>
      </c>
      <c r="P17">
        <f t="shared" si="0"/>
        <v>1</v>
      </c>
      <c r="Q17">
        <f t="shared" si="0"/>
        <v>5</v>
      </c>
      <c r="R17">
        <f t="shared" si="0"/>
        <v>5</v>
      </c>
      <c r="S17">
        <f t="shared" si="0"/>
        <v>1</v>
      </c>
      <c r="T17">
        <f t="shared" si="0"/>
        <v>10</v>
      </c>
      <c r="U17">
        <f t="shared" si="0"/>
        <v>3</v>
      </c>
      <c r="V17">
        <f t="shared" si="0"/>
        <v>2</v>
      </c>
      <c r="W17">
        <f t="shared" si="0"/>
        <v>5</v>
      </c>
      <c r="X17">
        <f t="shared" si="0"/>
        <v>2</v>
      </c>
      <c r="Y17">
        <f t="shared" si="0"/>
        <v>0</v>
      </c>
      <c r="Z17">
        <f t="shared" si="3"/>
        <v>40</v>
      </c>
      <c r="AA17">
        <f t="shared" si="2"/>
        <v>0.875</v>
      </c>
    </row>
    <row r="18" spans="1:27" x14ac:dyDescent="0.25">
      <c r="A18" s="11" t="s">
        <v>95</v>
      </c>
      <c r="B18" s="5" t="s">
        <v>96</v>
      </c>
      <c r="E18" s="5" t="s">
        <v>207</v>
      </c>
      <c r="J18" s="5" t="s">
        <v>328</v>
      </c>
      <c r="K18" s="5" t="s">
        <v>396</v>
      </c>
      <c r="N18">
        <f t="shared" si="0"/>
        <v>1</v>
      </c>
      <c r="O18">
        <f t="shared" si="0"/>
        <v>0</v>
      </c>
      <c r="P18">
        <f t="shared" si="0"/>
        <v>0</v>
      </c>
      <c r="Q18">
        <f t="shared" si="0"/>
        <v>1</v>
      </c>
      <c r="R18">
        <f t="shared" si="0"/>
        <v>0</v>
      </c>
      <c r="S18">
        <f t="shared" si="0"/>
        <v>0</v>
      </c>
      <c r="T18">
        <f t="shared" si="0"/>
        <v>0</v>
      </c>
      <c r="U18">
        <f t="shared" si="0"/>
        <v>0</v>
      </c>
      <c r="V18">
        <f t="shared" si="0"/>
        <v>1</v>
      </c>
      <c r="W18">
        <f t="shared" si="0"/>
        <v>1</v>
      </c>
      <c r="X18">
        <f t="shared" si="0"/>
        <v>0</v>
      </c>
      <c r="Y18">
        <f t="shared" si="0"/>
        <v>0</v>
      </c>
      <c r="Z18">
        <f t="shared" si="3"/>
        <v>4</v>
      </c>
      <c r="AA18">
        <f t="shared" si="2"/>
        <v>0.98750000000000004</v>
      </c>
    </row>
    <row r="19" spans="1:27" x14ac:dyDescent="0.25">
      <c r="A19" s="11" t="s">
        <v>76</v>
      </c>
      <c r="D19" s="5" t="s">
        <v>129</v>
      </c>
      <c r="M19" s="5" t="s">
        <v>379</v>
      </c>
      <c r="N19">
        <f t="shared" si="0"/>
        <v>0</v>
      </c>
      <c r="O19">
        <f t="shared" si="0"/>
        <v>0</v>
      </c>
      <c r="P19">
        <f t="shared" si="0"/>
        <v>2</v>
      </c>
      <c r="Q19">
        <f t="shared" si="0"/>
        <v>0</v>
      </c>
      <c r="R19">
        <f t="shared" si="0"/>
        <v>0</v>
      </c>
      <c r="S19">
        <f t="shared" si="0"/>
        <v>0</v>
      </c>
      <c r="T19">
        <f t="shared" si="0"/>
        <v>0</v>
      </c>
      <c r="U19">
        <f t="shared" si="0"/>
        <v>0</v>
      </c>
      <c r="V19">
        <f t="shared" si="0"/>
        <v>0</v>
      </c>
      <c r="W19">
        <f t="shared" si="0"/>
        <v>0</v>
      </c>
      <c r="X19">
        <f t="shared" si="0"/>
        <v>0</v>
      </c>
      <c r="Y19">
        <f t="shared" si="0"/>
        <v>2</v>
      </c>
      <c r="Z19">
        <f t="shared" si="3"/>
        <v>4</v>
      </c>
      <c r="AA19">
        <f t="shared" si="2"/>
        <v>0.98750000000000004</v>
      </c>
    </row>
    <row r="20" spans="1:27" x14ac:dyDescent="0.25">
      <c r="A20" s="11" t="s">
        <v>77</v>
      </c>
      <c r="B20" s="5" t="s">
        <v>89</v>
      </c>
      <c r="C20" s="5" t="s">
        <v>116</v>
      </c>
      <c r="E20" s="5" t="s">
        <v>180</v>
      </c>
      <c r="F20" s="5" t="s">
        <v>226</v>
      </c>
      <c r="K20" s="5" t="s">
        <v>386</v>
      </c>
      <c r="L20" s="5" t="s">
        <v>414</v>
      </c>
      <c r="N20">
        <f t="shared" si="0"/>
        <v>1</v>
      </c>
      <c r="O20">
        <f t="shared" si="0"/>
        <v>1</v>
      </c>
      <c r="P20">
        <f t="shared" si="0"/>
        <v>0</v>
      </c>
      <c r="Q20">
        <f t="shared" si="0"/>
        <v>1</v>
      </c>
      <c r="R20">
        <f t="shared" si="0"/>
        <v>1</v>
      </c>
      <c r="S20">
        <f t="shared" si="0"/>
        <v>0</v>
      </c>
      <c r="T20">
        <f t="shared" si="0"/>
        <v>0</v>
      </c>
      <c r="U20">
        <f t="shared" si="0"/>
        <v>0</v>
      </c>
      <c r="V20">
        <f t="shared" si="0"/>
        <v>0</v>
      </c>
      <c r="W20">
        <f t="shared" si="0"/>
        <v>1</v>
      </c>
      <c r="X20">
        <f t="shared" si="0"/>
        <v>1</v>
      </c>
      <c r="Y20">
        <f t="shared" si="0"/>
        <v>0</v>
      </c>
      <c r="Z20">
        <f t="shared" si="3"/>
        <v>6</v>
      </c>
      <c r="AA20">
        <f t="shared" si="2"/>
        <v>0.98124999999999996</v>
      </c>
    </row>
    <row r="21" spans="1:27" ht="31.5" x14ac:dyDescent="0.25">
      <c r="A21" s="11" t="s">
        <v>78</v>
      </c>
      <c r="B21" s="5" t="s">
        <v>90</v>
      </c>
      <c r="E21" s="5" t="s">
        <v>219</v>
      </c>
      <c r="K21" s="5" t="s">
        <v>400</v>
      </c>
      <c r="N21">
        <f t="shared" si="0"/>
        <v>1</v>
      </c>
      <c r="O21">
        <f t="shared" si="0"/>
        <v>0</v>
      </c>
      <c r="P21">
        <f t="shared" si="0"/>
        <v>0</v>
      </c>
      <c r="Q21">
        <f t="shared" si="0"/>
        <v>3</v>
      </c>
      <c r="R21">
        <f t="shared" si="0"/>
        <v>0</v>
      </c>
      <c r="S21">
        <f t="shared" si="0"/>
        <v>0</v>
      </c>
      <c r="T21">
        <f t="shared" si="0"/>
        <v>0</v>
      </c>
      <c r="U21">
        <f t="shared" si="0"/>
        <v>0</v>
      </c>
      <c r="V21">
        <f t="shared" si="0"/>
        <v>0</v>
      </c>
      <c r="W21">
        <f t="shared" si="0"/>
        <v>2</v>
      </c>
      <c r="X21">
        <f t="shared" si="0"/>
        <v>0</v>
      </c>
      <c r="Y21">
        <f t="shared" si="0"/>
        <v>0</v>
      </c>
      <c r="Z21">
        <f t="shared" si="3"/>
        <v>6</v>
      </c>
      <c r="AA21">
        <f t="shared" si="2"/>
        <v>0.98124999999999996</v>
      </c>
    </row>
    <row r="22" spans="1:27" ht="31.5" x14ac:dyDescent="0.25">
      <c r="A22" s="11" t="s">
        <v>79</v>
      </c>
      <c r="C22" s="5" t="s">
        <v>118</v>
      </c>
      <c r="H22" s="5" t="s">
        <v>351</v>
      </c>
      <c r="I22" s="5" t="s">
        <v>308</v>
      </c>
      <c r="L22" s="5" t="s">
        <v>416</v>
      </c>
      <c r="N22">
        <f t="shared" si="0"/>
        <v>0</v>
      </c>
      <c r="O22">
        <f t="shared" si="0"/>
        <v>1</v>
      </c>
      <c r="P22">
        <f t="shared" si="0"/>
        <v>0</v>
      </c>
      <c r="Q22">
        <f t="shared" si="0"/>
        <v>0</v>
      </c>
      <c r="R22">
        <f t="shared" si="0"/>
        <v>0</v>
      </c>
      <c r="S22">
        <f t="shared" si="0"/>
        <v>0</v>
      </c>
      <c r="T22">
        <f t="shared" si="0"/>
        <v>3</v>
      </c>
      <c r="U22">
        <f t="shared" si="0"/>
        <v>1</v>
      </c>
      <c r="V22">
        <f t="shared" si="0"/>
        <v>0</v>
      </c>
      <c r="W22">
        <f t="shared" si="0"/>
        <v>0</v>
      </c>
      <c r="X22">
        <f t="shared" si="0"/>
        <v>1</v>
      </c>
      <c r="Y22">
        <f t="shared" si="0"/>
        <v>0</v>
      </c>
      <c r="Z22">
        <f t="shared" si="3"/>
        <v>6</v>
      </c>
      <c r="AA22">
        <f t="shared" si="2"/>
        <v>0.98124999999999996</v>
      </c>
    </row>
    <row r="23" spans="1:27" ht="31.5" x14ac:dyDescent="0.25">
      <c r="A23" s="11" t="s">
        <v>80</v>
      </c>
      <c r="C23" s="5" t="s">
        <v>124</v>
      </c>
      <c r="F23" s="5" t="s">
        <v>234</v>
      </c>
      <c r="G23" s="5" t="s">
        <v>239</v>
      </c>
      <c r="J23" s="5" t="s">
        <v>325</v>
      </c>
      <c r="L23" s="5" t="s">
        <v>422</v>
      </c>
      <c r="N23">
        <f t="shared" ref="N23:N40" si="4">LEN(B23)-LEN(SUBSTITUTE(B23,",",""))</f>
        <v>0</v>
      </c>
      <c r="O23">
        <f t="shared" ref="O23:O40" si="5">LEN(C23)-LEN(SUBSTITUTE(C23,",",""))</f>
        <v>2</v>
      </c>
      <c r="P23">
        <f t="shared" ref="P23:P40" si="6">LEN(D23)-LEN(SUBSTITUTE(D23,",",""))</f>
        <v>0</v>
      </c>
      <c r="Q23">
        <f t="shared" ref="Q23:Q40" si="7">LEN(E23)-LEN(SUBSTITUTE(E23,",",""))</f>
        <v>0</v>
      </c>
      <c r="R23">
        <f t="shared" ref="R23:R40" si="8">LEN(F23)-LEN(SUBSTITUTE(F23,",",""))</f>
        <v>1</v>
      </c>
      <c r="S23">
        <f t="shared" ref="S23:S40" si="9">LEN(G23)-LEN(SUBSTITUTE(G23,",",""))</f>
        <v>1</v>
      </c>
      <c r="T23">
        <f t="shared" ref="T23:T40" si="10">LEN(H23)-LEN(SUBSTITUTE(H23,",",""))</f>
        <v>0</v>
      </c>
      <c r="U23">
        <f t="shared" ref="U23:U40" si="11">LEN(I23)-LEN(SUBSTITUTE(I23,",",""))</f>
        <v>0</v>
      </c>
      <c r="V23">
        <f t="shared" ref="V23:V40" si="12">LEN(J23)-LEN(SUBSTITUTE(J23,",",""))</f>
        <v>1</v>
      </c>
      <c r="W23">
        <f t="shared" ref="W23:W40" si="13">LEN(K23)-LEN(SUBSTITUTE(K23,",",""))</f>
        <v>0</v>
      </c>
      <c r="X23">
        <f t="shared" ref="X23:X40" si="14">LEN(L23)-LEN(SUBSTITUTE(L23,",",""))</f>
        <v>2</v>
      </c>
      <c r="Y23">
        <f t="shared" ref="Y23:Y40" si="15">LEN(M23)-LEN(SUBSTITUTE(M23,",",""))</f>
        <v>0</v>
      </c>
      <c r="Z23">
        <f t="shared" ref="Z23:Z40" si="16">SUM(N23:Y23)</f>
        <v>7</v>
      </c>
      <c r="AA23">
        <f t="shared" si="2"/>
        <v>0.97812500000000002</v>
      </c>
    </row>
    <row r="24" spans="1:27" ht="204.75" x14ac:dyDescent="0.25">
      <c r="A24" s="11" t="s">
        <v>87</v>
      </c>
      <c r="B24" s="5" t="s">
        <v>98</v>
      </c>
      <c r="C24" s="5" t="s">
        <v>114</v>
      </c>
      <c r="D24" s="5" t="s">
        <v>131</v>
      </c>
      <c r="E24" s="5" t="s">
        <v>220</v>
      </c>
      <c r="F24" s="5" t="s">
        <v>238</v>
      </c>
      <c r="G24" s="5" t="s">
        <v>247</v>
      </c>
      <c r="H24" s="5" t="s">
        <v>498</v>
      </c>
      <c r="I24" s="5" t="s">
        <v>370</v>
      </c>
      <c r="J24" s="5" t="s">
        <v>374</v>
      </c>
      <c r="K24" s="5" t="s">
        <v>408</v>
      </c>
      <c r="L24" s="5" t="s">
        <v>424</v>
      </c>
      <c r="M24" s="5" t="s">
        <v>382</v>
      </c>
      <c r="N24">
        <f t="shared" si="4"/>
        <v>9</v>
      </c>
      <c r="O24">
        <f t="shared" si="5"/>
        <v>3</v>
      </c>
      <c r="P24">
        <f t="shared" si="6"/>
        <v>7</v>
      </c>
      <c r="Q24">
        <f t="shared" si="7"/>
        <v>22</v>
      </c>
      <c r="R24">
        <f t="shared" si="8"/>
        <v>9</v>
      </c>
      <c r="S24">
        <f t="shared" si="9"/>
        <v>6</v>
      </c>
      <c r="T24">
        <f t="shared" si="10"/>
        <v>12</v>
      </c>
      <c r="U24">
        <f t="shared" si="11"/>
        <v>5</v>
      </c>
      <c r="V24">
        <f t="shared" si="12"/>
        <v>2</v>
      </c>
      <c r="W24">
        <f t="shared" si="13"/>
        <v>26</v>
      </c>
      <c r="X24">
        <f t="shared" si="14"/>
        <v>11</v>
      </c>
      <c r="Y24">
        <f t="shared" si="15"/>
        <v>8</v>
      </c>
      <c r="Z24">
        <f t="shared" si="16"/>
        <v>120</v>
      </c>
      <c r="AA24">
        <f t="shared" si="2"/>
        <v>0.625</v>
      </c>
    </row>
    <row r="25" spans="1:27" ht="47.25" x14ac:dyDescent="0.25">
      <c r="A25" s="11" t="s">
        <v>81</v>
      </c>
      <c r="B25" s="5" t="s">
        <v>111</v>
      </c>
      <c r="E25" s="5" t="s">
        <v>221</v>
      </c>
      <c r="F25" s="5" t="s">
        <v>223</v>
      </c>
      <c r="H25" s="5" t="s">
        <v>348</v>
      </c>
      <c r="I25" s="5" t="s">
        <v>307</v>
      </c>
      <c r="J25" s="5" t="s">
        <v>324</v>
      </c>
      <c r="K25" s="5" t="s">
        <v>409</v>
      </c>
      <c r="L25" s="5" t="s">
        <v>419</v>
      </c>
      <c r="N25">
        <f t="shared" si="4"/>
        <v>2</v>
      </c>
      <c r="O25">
        <f t="shared" si="5"/>
        <v>0</v>
      </c>
      <c r="P25">
        <f t="shared" si="6"/>
        <v>0</v>
      </c>
      <c r="Q25">
        <f t="shared" si="7"/>
        <v>4</v>
      </c>
      <c r="R25">
        <f t="shared" si="8"/>
        <v>1</v>
      </c>
      <c r="S25">
        <f t="shared" si="9"/>
        <v>0</v>
      </c>
      <c r="T25">
        <f t="shared" si="10"/>
        <v>3</v>
      </c>
      <c r="U25">
        <f t="shared" si="11"/>
        <v>1</v>
      </c>
      <c r="V25">
        <f t="shared" si="12"/>
        <v>1</v>
      </c>
      <c r="W25">
        <f t="shared" si="13"/>
        <v>3</v>
      </c>
      <c r="X25">
        <f t="shared" si="14"/>
        <v>4</v>
      </c>
      <c r="Y25">
        <f t="shared" si="15"/>
        <v>0</v>
      </c>
      <c r="Z25">
        <f t="shared" si="16"/>
        <v>19</v>
      </c>
      <c r="AA25">
        <f t="shared" si="2"/>
        <v>0.94062500000000004</v>
      </c>
    </row>
    <row r="26" spans="1:27" ht="63" x14ac:dyDescent="0.25">
      <c r="A26" s="12" t="s">
        <v>503</v>
      </c>
      <c r="B26" s="5" t="s">
        <v>106</v>
      </c>
      <c r="C26" s="5" t="s">
        <v>123</v>
      </c>
      <c r="E26" s="5" t="s">
        <v>217</v>
      </c>
      <c r="F26" s="5" t="s">
        <v>231</v>
      </c>
      <c r="G26" s="5" t="s">
        <v>243</v>
      </c>
      <c r="H26" s="5" t="s">
        <v>497</v>
      </c>
      <c r="I26" s="5" t="s">
        <v>365</v>
      </c>
      <c r="J26" s="5" t="s">
        <v>324</v>
      </c>
      <c r="K26" s="5" t="s">
        <v>403</v>
      </c>
      <c r="L26" s="5" t="s">
        <v>411</v>
      </c>
      <c r="N26">
        <f t="shared" si="4"/>
        <v>3</v>
      </c>
      <c r="O26">
        <f t="shared" si="5"/>
        <v>2</v>
      </c>
      <c r="P26">
        <f t="shared" si="6"/>
        <v>0</v>
      </c>
      <c r="Q26">
        <f t="shared" si="7"/>
        <v>5</v>
      </c>
      <c r="R26">
        <f t="shared" si="8"/>
        <v>2</v>
      </c>
      <c r="S26">
        <f t="shared" si="9"/>
        <v>2</v>
      </c>
      <c r="T26">
        <f t="shared" si="10"/>
        <v>7</v>
      </c>
      <c r="U26">
        <f t="shared" si="11"/>
        <v>2</v>
      </c>
      <c r="V26">
        <f t="shared" si="12"/>
        <v>1</v>
      </c>
      <c r="W26">
        <f t="shared" si="13"/>
        <v>4</v>
      </c>
      <c r="X26">
        <f t="shared" si="14"/>
        <v>1</v>
      </c>
      <c r="Y26">
        <f t="shared" si="15"/>
        <v>0</v>
      </c>
      <c r="Z26">
        <f t="shared" si="16"/>
        <v>29</v>
      </c>
      <c r="AA26">
        <f t="shared" si="2"/>
        <v>0.90937500000000004</v>
      </c>
    </row>
    <row r="27" spans="1:27" ht="47.25" x14ac:dyDescent="0.25">
      <c r="A27" s="12" t="s">
        <v>83</v>
      </c>
      <c r="B27" s="5" t="s">
        <v>103</v>
      </c>
      <c r="E27" s="5" t="s">
        <v>210</v>
      </c>
      <c r="F27" s="5" t="s">
        <v>224</v>
      </c>
      <c r="G27" s="5" t="s">
        <v>241</v>
      </c>
      <c r="H27" s="5" t="s">
        <v>347</v>
      </c>
      <c r="K27" s="5" t="s">
        <v>496</v>
      </c>
      <c r="N27">
        <f t="shared" si="4"/>
        <v>6</v>
      </c>
      <c r="O27">
        <f t="shared" si="5"/>
        <v>0</v>
      </c>
      <c r="P27">
        <f t="shared" si="6"/>
        <v>0</v>
      </c>
      <c r="Q27">
        <f t="shared" si="7"/>
        <v>4</v>
      </c>
      <c r="R27">
        <f t="shared" si="8"/>
        <v>1</v>
      </c>
      <c r="S27">
        <f t="shared" si="9"/>
        <v>1</v>
      </c>
      <c r="T27">
        <f t="shared" si="10"/>
        <v>1</v>
      </c>
      <c r="U27">
        <f t="shared" si="11"/>
        <v>0</v>
      </c>
      <c r="V27">
        <f t="shared" si="12"/>
        <v>0</v>
      </c>
      <c r="W27">
        <f t="shared" si="13"/>
        <v>6</v>
      </c>
      <c r="X27">
        <f t="shared" si="14"/>
        <v>0</v>
      </c>
      <c r="Y27">
        <f t="shared" si="15"/>
        <v>0</v>
      </c>
      <c r="Z27">
        <f t="shared" si="16"/>
        <v>19</v>
      </c>
      <c r="AA27">
        <f t="shared" si="2"/>
        <v>0.94062500000000004</v>
      </c>
    </row>
    <row r="28" spans="1:27" ht="63" x14ac:dyDescent="0.25">
      <c r="A28" s="12" t="s">
        <v>84</v>
      </c>
      <c r="B28" s="5" t="s">
        <v>100</v>
      </c>
      <c r="E28" s="5" t="s">
        <v>214</v>
      </c>
      <c r="F28" s="5" t="s">
        <v>230</v>
      </c>
      <c r="H28" s="5" t="s">
        <v>356</v>
      </c>
      <c r="K28" s="5" t="s">
        <v>398</v>
      </c>
      <c r="N28">
        <f t="shared" si="4"/>
        <v>6</v>
      </c>
      <c r="O28">
        <f t="shared" si="5"/>
        <v>0</v>
      </c>
      <c r="P28">
        <f t="shared" si="6"/>
        <v>0</v>
      </c>
      <c r="Q28">
        <f t="shared" si="7"/>
        <v>8</v>
      </c>
      <c r="R28">
        <f t="shared" si="8"/>
        <v>2</v>
      </c>
      <c r="S28">
        <f t="shared" si="9"/>
        <v>0</v>
      </c>
      <c r="T28">
        <f t="shared" si="10"/>
        <v>3</v>
      </c>
      <c r="U28">
        <f t="shared" si="11"/>
        <v>0</v>
      </c>
      <c r="V28">
        <f t="shared" si="12"/>
        <v>0</v>
      </c>
      <c r="W28">
        <f t="shared" si="13"/>
        <v>6</v>
      </c>
      <c r="X28">
        <f t="shared" si="14"/>
        <v>0</v>
      </c>
      <c r="Y28">
        <f t="shared" si="15"/>
        <v>0</v>
      </c>
      <c r="Z28">
        <f t="shared" si="16"/>
        <v>25</v>
      </c>
      <c r="AA28">
        <f t="shared" si="2"/>
        <v>0.921875</v>
      </c>
    </row>
    <row r="29" spans="1:27" x14ac:dyDescent="0.25">
      <c r="A29" s="12" t="s">
        <v>504</v>
      </c>
      <c r="N29">
        <f t="shared" si="4"/>
        <v>0</v>
      </c>
      <c r="O29">
        <f t="shared" si="5"/>
        <v>0</v>
      </c>
      <c r="P29">
        <f t="shared" si="6"/>
        <v>0</v>
      </c>
      <c r="Q29">
        <f t="shared" si="7"/>
        <v>0</v>
      </c>
      <c r="R29">
        <f t="shared" si="8"/>
        <v>0</v>
      </c>
      <c r="S29">
        <f t="shared" si="9"/>
        <v>0</v>
      </c>
      <c r="T29">
        <f t="shared" si="10"/>
        <v>0</v>
      </c>
      <c r="U29">
        <f t="shared" si="11"/>
        <v>0</v>
      </c>
      <c r="V29">
        <f t="shared" si="12"/>
        <v>0</v>
      </c>
      <c r="W29">
        <f t="shared" si="13"/>
        <v>0</v>
      </c>
      <c r="X29">
        <f t="shared" si="14"/>
        <v>0</v>
      </c>
      <c r="Y29">
        <f t="shared" si="15"/>
        <v>0</v>
      </c>
      <c r="Z29">
        <f t="shared" si="16"/>
        <v>0</v>
      </c>
      <c r="AA29" t="str">
        <f t="shared" si="2"/>
        <v/>
      </c>
    </row>
    <row r="30" spans="1:27" x14ac:dyDescent="0.25">
      <c r="A30" s="12" t="s">
        <v>505</v>
      </c>
      <c r="B30" s="5" t="s">
        <v>102</v>
      </c>
      <c r="E30" s="5" t="s">
        <v>211</v>
      </c>
      <c r="H30" s="5" t="s">
        <v>314</v>
      </c>
      <c r="K30" s="5" t="s">
        <v>401</v>
      </c>
      <c r="N30">
        <f t="shared" si="4"/>
        <v>1</v>
      </c>
      <c r="O30">
        <f t="shared" si="5"/>
        <v>0</v>
      </c>
      <c r="P30">
        <f t="shared" si="6"/>
        <v>0</v>
      </c>
      <c r="Q30">
        <f t="shared" si="7"/>
        <v>1</v>
      </c>
      <c r="R30">
        <f t="shared" si="8"/>
        <v>0</v>
      </c>
      <c r="S30">
        <f t="shared" si="9"/>
        <v>0</v>
      </c>
      <c r="T30">
        <f t="shared" si="10"/>
        <v>1</v>
      </c>
      <c r="U30">
        <f t="shared" si="11"/>
        <v>0</v>
      </c>
      <c r="V30">
        <f t="shared" si="12"/>
        <v>0</v>
      </c>
      <c r="W30">
        <f t="shared" si="13"/>
        <v>1</v>
      </c>
      <c r="X30">
        <f t="shared" si="14"/>
        <v>0</v>
      </c>
      <c r="Y30">
        <f t="shared" si="15"/>
        <v>0</v>
      </c>
      <c r="Z30">
        <f t="shared" si="16"/>
        <v>4</v>
      </c>
      <c r="AA30">
        <f t="shared" si="2"/>
        <v>0.98750000000000004</v>
      </c>
    </row>
    <row r="31" spans="1:27" x14ac:dyDescent="0.25">
      <c r="A31" s="12" t="s">
        <v>85</v>
      </c>
      <c r="B31" s="5" t="s">
        <v>94</v>
      </c>
      <c r="E31" s="5" t="s">
        <v>205</v>
      </c>
      <c r="H31" s="5" t="s">
        <v>349</v>
      </c>
      <c r="K31" s="5" t="s">
        <v>391</v>
      </c>
      <c r="N31">
        <f t="shared" si="4"/>
        <v>1</v>
      </c>
      <c r="O31">
        <f t="shared" si="5"/>
        <v>0</v>
      </c>
      <c r="P31">
        <f t="shared" si="6"/>
        <v>0</v>
      </c>
      <c r="Q31">
        <f t="shared" si="7"/>
        <v>1</v>
      </c>
      <c r="R31">
        <f t="shared" si="8"/>
        <v>0</v>
      </c>
      <c r="S31">
        <f t="shared" si="9"/>
        <v>0</v>
      </c>
      <c r="T31">
        <f t="shared" si="10"/>
        <v>1</v>
      </c>
      <c r="U31">
        <f t="shared" si="11"/>
        <v>0</v>
      </c>
      <c r="V31">
        <f t="shared" si="12"/>
        <v>0</v>
      </c>
      <c r="W31">
        <f t="shared" si="13"/>
        <v>1</v>
      </c>
      <c r="X31">
        <f t="shared" si="14"/>
        <v>0</v>
      </c>
      <c r="Y31">
        <f t="shared" si="15"/>
        <v>0</v>
      </c>
      <c r="Z31">
        <f t="shared" si="16"/>
        <v>4</v>
      </c>
      <c r="AA31">
        <f t="shared" si="2"/>
        <v>0.98750000000000004</v>
      </c>
    </row>
    <row r="32" spans="1:27" ht="31.5" x14ac:dyDescent="0.25">
      <c r="A32" s="13" t="s">
        <v>506</v>
      </c>
      <c r="B32" s="5" t="s">
        <v>93</v>
      </c>
      <c r="E32" s="5" t="s">
        <v>218</v>
      </c>
      <c r="F32" s="5" t="s">
        <v>225</v>
      </c>
      <c r="G32" s="5" t="s">
        <v>242</v>
      </c>
      <c r="I32" s="5" t="s">
        <v>367</v>
      </c>
      <c r="J32" s="5" t="s">
        <v>324</v>
      </c>
      <c r="K32" s="5" t="s">
        <v>393</v>
      </c>
      <c r="L32" s="5" t="s">
        <v>413</v>
      </c>
      <c r="N32">
        <f t="shared" si="4"/>
        <v>2</v>
      </c>
      <c r="O32">
        <f t="shared" si="5"/>
        <v>0</v>
      </c>
      <c r="P32">
        <f t="shared" si="6"/>
        <v>0</v>
      </c>
      <c r="Q32">
        <f t="shared" si="7"/>
        <v>2</v>
      </c>
      <c r="R32">
        <f t="shared" si="8"/>
        <v>1</v>
      </c>
      <c r="S32">
        <f t="shared" si="9"/>
        <v>1</v>
      </c>
      <c r="T32">
        <f t="shared" si="10"/>
        <v>0</v>
      </c>
      <c r="U32">
        <f t="shared" si="11"/>
        <v>2</v>
      </c>
      <c r="V32">
        <f t="shared" si="12"/>
        <v>1</v>
      </c>
      <c r="W32">
        <f t="shared" si="13"/>
        <v>2</v>
      </c>
      <c r="X32">
        <f t="shared" si="14"/>
        <v>1</v>
      </c>
      <c r="Y32">
        <f t="shared" si="15"/>
        <v>0</v>
      </c>
      <c r="Z32">
        <f t="shared" si="16"/>
        <v>12</v>
      </c>
      <c r="AA32">
        <f t="shared" si="2"/>
        <v>0.96250000000000002</v>
      </c>
    </row>
    <row r="33" spans="1:27" ht="31.5" x14ac:dyDescent="0.25">
      <c r="A33" s="13" t="s">
        <v>507</v>
      </c>
      <c r="C33" s="5" t="s">
        <v>120</v>
      </c>
      <c r="F33" s="5" t="s">
        <v>229</v>
      </c>
      <c r="H33" s="5" t="s">
        <v>317</v>
      </c>
      <c r="J33" s="5" t="s">
        <v>328</v>
      </c>
      <c r="L33" s="5" t="s">
        <v>418</v>
      </c>
      <c r="N33">
        <f t="shared" si="4"/>
        <v>0</v>
      </c>
      <c r="O33">
        <f t="shared" si="5"/>
        <v>1</v>
      </c>
      <c r="P33">
        <f t="shared" si="6"/>
        <v>0</v>
      </c>
      <c r="Q33">
        <f t="shared" si="7"/>
        <v>0</v>
      </c>
      <c r="R33">
        <f t="shared" si="8"/>
        <v>1</v>
      </c>
      <c r="S33">
        <f t="shared" si="9"/>
        <v>0</v>
      </c>
      <c r="T33">
        <f t="shared" si="10"/>
        <v>3</v>
      </c>
      <c r="U33">
        <f t="shared" si="11"/>
        <v>0</v>
      </c>
      <c r="V33">
        <f t="shared" si="12"/>
        <v>1</v>
      </c>
      <c r="W33">
        <f t="shared" si="13"/>
        <v>0</v>
      </c>
      <c r="X33">
        <f t="shared" si="14"/>
        <v>1</v>
      </c>
      <c r="Y33">
        <f t="shared" si="15"/>
        <v>0</v>
      </c>
      <c r="Z33">
        <f t="shared" si="16"/>
        <v>7</v>
      </c>
      <c r="AA33">
        <f t="shared" si="2"/>
        <v>0.97812500000000002</v>
      </c>
    </row>
    <row r="34" spans="1:27" x14ac:dyDescent="0.25">
      <c r="A34" s="13" t="s">
        <v>508</v>
      </c>
      <c r="D34" s="5" t="s">
        <v>130</v>
      </c>
      <c r="E34" s="5" t="s">
        <v>202</v>
      </c>
      <c r="G34" s="5" t="s">
        <v>242</v>
      </c>
      <c r="H34" s="5" t="s">
        <v>359</v>
      </c>
      <c r="K34" s="5" t="s">
        <v>396</v>
      </c>
      <c r="M34" s="5" t="s">
        <v>380</v>
      </c>
      <c r="N34">
        <f t="shared" si="4"/>
        <v>0</v>
      </c>
      <c r="O34">
        <f t="shared" si="5"/>
        <v>0</v>
      </c>
      <c r="P34">
        <f t="shared" si="6"/>
        <v>1</v>
      </c>
      <c r="Q34">
        <f t="shared" si="7"/>
        <v>2</v>
      </c>
      <c r="R34">
        <f t="shared" si="8"/>
        <v>0</v>
      </c>
      <c r="S34">
        <f t="shared" si="9"/>
        <v>1</v>
      </c>
      <c r="T34">
        <f t="shared" si="10"/>
        <v>1</v>
      </c>
      <c r="U34">
        <f t="shared" si="11"/>
        <v>0</v>
      </c>
      <c r="V34">
        <f t="shared" si="12"/>
        <v>0</v>
      </c>
      <c r="W34">
        <f t="shared" si="13"/>
        <v>1</v>
      </c>
      <c r="X34">
        <f t="shared" si="14"/>
        <v>0</v>
      </c>
      <c r="Y34">
        <f t="shared" si="15"/>
        <v>1</v>
      </c>
      <c r="Z34">
        <f t="shared" si="16"/>
        <v>7</v>
      </c>
      <c r="AA34">
        <f t="shared" si="2"/>
        <v>0.97812500000000002</v>
      </c>
    </row>
    <row r="35" spans="1:27" ht="78.75" x14ac:dyDescent="0.25">
      <c r="A35" s="5" t="s">
        <v>204</v>
      </c>
      <c r="E35" s="5" t="s">
        <v>203</v>
      </c>
      <c r="H35" s="5" t="s">
        <v>282</v>
      </c>
      <c r="K35" s="5" t="s">
        <v>406</v>
      </c>
      <c r="L35" s="5" t="s">
        <v>416</v>
      </c>
      <c r="M35" s="5" t="s">
        <v>381</v>
      </c>
      <c r="N35">
        <f t="shared" si="4"/>
        <v>0</v>
      </c>
      <c r="O35">
        <f t="shared" si="5"/>
        <v>0</v>
      </c>
      <c r="P35">
        <f t="shared" si="6"/>
        <v>0</v>
      </c>
      <c r="Q35">
        <f t="shared" si="7"/>
        <v>1</v>
      </c>
      <c r="R35">
        <f t="shared" si="8"/>
        <v>0</v>
      </c>
      <c r="S35">
        <f t="shared" si="9"/>
        <v>0</v>
      </c>
      <c r="T35">
        <f t="shared" si="10"/>
        <v>1</v>
      </c>
      <c r="U35">
        <f t="shared" si="11"/>
        <v>0</v>
      </c>
      <c r="V35">
        <f t="shared" si="12"/>
        <v>0</v>
      </c>
      <c r="W35">
        <f t="shared" si="13"/>
        <v>9</v>
      </c>
      <c r="X35">
        <f t="shared" si="14"/>
        <v>1</v>
      </c>
      <c r="Y35">
        <f t="shared" si="15"/>
        <v>4</v>
      </c>
      <c r="Z35">
        <f t="shared" si="16"/>
        <v>16</v>
      </c>
      <c r="AA35">
        <f t="shared" si="2"/>
        <v>0.95</v>
      </c>
    </row>
    <row r="36" spans="1:27" x14ac:dyDescent="0.25">
      <c r="A36" s="5" t="s">
        <v>509</v>
      </c>
      <c r="E36" s="5" t="s">
        <v>206</v>
      </c>
      <c r="H36" s="5" t="s">
        <v>315</v>
      </c>
      <c r="K36" s="5" t="s">
        <v>395</v>
      </c>
      <c r="N36">
        <f t="shared" si="4"/>
        <v>0</v>
      </c>
      <c r="O36">
        <f t="shared" si="5"/>
        <v>0</v>
      </c>
      <c r="P36">
        <f t="shared" si="6"/>
        <v>0</v>
      </c>
      <c r="Q36">
        <f t="shared" si="7"/>
        <v>1</v>
      </c>
      <c r="R36">
        <f t="shared" si="8"/>
        <v>0</v>
      </c>
      <c r="S36">
        <f t="shared" si="9"/>
        <v>0</v>
      </c>
      <c r="T36">
        <f t="shared" si="10"/>
        <v>1</v>
      </c>
      <c r="U36">
        <f t="shared" si="11"/>
        <v>0</v>
      </c>
      <c r="V36">
        <f t="shared" si="12"/>
        <v>0</v>
      </c>
      <c r="W36">
        <f t="shared" si="13"/>
        <v>1</v>
      </c>
      <c r="X36">
        <f t="shared" si="14"/>
        <v>0</v>
      </c>
      <c r="Y36">
        <f t="shared" si="15"/>
        <v>0</v>
      </c>
      <c r="Z36">
        <f t="shared" si="16"/>
        <v>3</v>
      </c>
      <c r="AA36">
        <f t="shared" si="2"/>
        <v>0.99062499999999998</v>
      </c>
    </row>
    <row r="37" spans="1:27" x14ac:dyDescent="0.25">
      <c r="A37" s="5" t="s">
        <v>357</v>
      </c>
      <c r="H37" s="5" t="s">
        <v>358</v>
      </c>
      <c r="I37" s="5" t="s">
        <v>363</v>
      </c>
      <c r="L37" s="5" t="s">
        <v>415</v>
      </c>
      <c r="N37">
        <f t="shared" si="4"/>
        <v>0</v>
      </c>
      <c r="O37">
        <f t="shared" si="5"/>
        <v>0</v>
      </c>
      <c r="P37">
        <f t="shared" si="6"/>
        <v>0</v>
      </c>
      <c r="Q37">
        <f t="shared" si="7"/>
        <v>0</v>
      </c>
      <c r="R37">
        <f t="shared" si="8"/>
        <v>0</v>
      </c>
      <c r="S37">
        <f t="shared" si="9"/>
        <v>0</v>
      </c>
      <c r="T37">
        <f t="shared" si="10"/>
        <v>1</v>
      </c>
      <c r="U37">
        <f t="shared" si="11"/>
        <v>1</v>
      </c>
      <c r="V37">
        <f t="shared" si="12"/>
        <v>0</v>
      </c>
      <c r="W37">
        <f t="shared" si="13"/>
        <v>0</v>
      </c>
      <c r="X37">
        <f t="shared" si="14"/>
        <v>1</v>
      </c>
      <c r="Y37">
        <f t="shared" si="15"/>
        <v>0</v>
      </c>
      <c r="Z37">
        <f t="shared" si="16"/>
        <v>3</v>
      </c>
      <c r="AA37">
        <f t="shared" si="2"/>
        <v>0.99062499999999998</v>
      </c>
    </row>
    <row r="38" spans="1:27" x14ac:dyDescent="0.25">
      <c r="A38" s="5" t="s">
        <v>510</v>
      </c>
      <c r="I38" s="5" t="s">
        <v>360</v>
      </c>
      <c r="N38">
        <f t="shared" si="4"/>
        <v>0</v>
      </c>
      <c r="O38">
        <f t="shared" si="5"/>
        <v>0</v>
      </c>
      <c r="P38">
        <f t="shared" si="6"/>
        <v>0</v>
      </c>
      <c r="Q38">
        <f t="shared" si="7"/>
        <v>0</v>
      </c>
      <c r="R38">
        <f t="shared" si="8"/>
        <v>0</v>
      </c>
      <c r="S38">
        <f t="shared" si="9"/>
        <v>0</v>
      </c>
      <c r="T38">
        <f t="shared" si="10"/>
        <v>0</v>
      </c>
      <c r="U38">
        <f t="shared" si="11"/>
        <v>1</v>
      </c>
      <c r="V38">
        <f t="shared" si="12"/>
        <v>0</v>
      </c>
      <c r="W38">
        <f t="shared" si="13"/>
        <v>0</v>
      </c>
      <c r="X38">
        <f t="shared" si="14"/>
        <v>0</v>
      </c>
      <c r="Y38">
        <f t="shared" si="15"/>
        <v>0</v>
      </c>
      <c r="Z38">
        <f t="shared" si="16"/>
        <v>1</v>
      </c>
      <c r="AA38">
        <f t="shared" si="2"/>
        <v>0.99687499999999996</v>
      </c>
    </row>
    <row r="39" spans="1:27" x14ac:dyDescent="0.25">
      <c r="A39" s="5" t="s">
        <v>511</v>
      </c>
      <c r="K39" s="5" t="s">
        <v>390</v>
      </c>
      <c r="L39" s="5" t="s">
        <v>413</v>
      </c>
      <c r="N39">
        <f t="shared" si="4"/>
        <v>0</v>
      </c>
      <c r="O39">
        <f t="shared" si="5"/>
        <v>0</v>
      </c>
      <c r="P39">
        <f t="shared" si="6"/>
        <v>0</v>
      </c>
      <c r="Q39">
        <f t="shared" si="7"/>
        <v>0</v>
      </c>
      <c r="R39">
        <f t="shared" si="8"/>
        <v>0</v>
      </c>
      <c r="S39">
        <f t="shared" si="9"/>
        <v>0</v>
      </c>
      <c r="T39">
        <f t="shared" si="10"/>
        <v>0</v>
      </c>
      <c r="U39">
        <f t="shared" si="11"/>
        <v>0</v>
      </c>
      <c r="V39">
        <f t="shared" si="12"/>
        <v>0</v>
      </c>
      <c r="W39">
        <f t="shared" si="13"/>
        <v>1</v>
      </c>
      <c r="X39">
        <f t="shared" si="14"/>
        <v>1</v>
      </c>
      <c r="Y39">
        <f t="shared" si="15"/>
        <v>0</v>
      </c>
      <c r="Z39">
        <f t="shared" si="16"/>
        <v>2</v>
      </c>
      <c r="AA39">
        <f t="shared" si="2"/>
        <v>0.99375000000000002</v>
      </c>
    </row>
    <row r="40" spans="1:27" x14ac:dyDescent="0.25">
      <c r="A40" s="5" t="s">
        <v>512</v>
      </c>
      <c r="K40" s="5" t="s">
        <v>405</v>
      </c>
      <c r="N40">
        <f t="shared" si="4"/>
        <v>0</v>
      </c>
      <c r="O40">
        <f t="shared" si="5"/>
        <v>0</v>
      </c>
      <c r="P40">
        <f t="shared" si="6"/>
        <v>0</v>
      </c>
      <c r="Q40">
        <f t="shared" si="7"/>
        <v>0</v>
      </c>
      <c r="R40">
        <f t="shared" si="8"/>
        <v>0</v>
      </c>
      <c r="S40">
        <f t="shared" si="9"/>
        <v>0</v>
      </c>
      <c r="T40">
        <f t="shared" si="10"/>
        <v>0</v>
      </c>
      <c r="U40">
        <f t="shared" si="11"/>
        <v>0</v>
      </c>
      <c r="V40">
        <f t="shared" si="12"/>
        <v>0</v>
      </c>
      <c r="W40">
        <f t="shared" si="13"/>
        <v>1</v>
      </c>
      <c r="X40">
        <f t="shared" si="14"/>
        <v>0</v>
      </c>
      <c r="Y40">
        <f t="shared" si="15"/>
        <v>0</v>
      </c>
      <c r="Z40">
        <f t="shared" si="16"/>
        <v>1</v>
      </c>
      <c r="AA40">
        <f>IF(1-Z40/$Z$42=1,"",1-Z40/$Z$42)</f>
        <v>0.99687499999999996</v>
      </c>
    </row>
    <row r="42" spans="1:27" x14ac:dyDescent="0.25">
      <c r="Y42" s="5" t="s">
        <v>492</v>
      </c>
      <c r="Z42">
        <f>80*4</f>
        <v>320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1744-D567-469E-8318-B6FFB4608AF6}">
  <dimension ref="A1:AB35"/>
  <sheetViews>
    <sheetView topLeftCell="L30" zoomScale="82" workbookViewId="0">
      <selection activeCell="S44" sqref="S44"/>
    </sheetView>
  </sheetViews>
  <sheetFormatPr defaultColWidth="13" defaultRowHeight="15.75" x14ac:dyDescent="0.25"/>
  <cols>
    <col min="1" max="1" width="20.875" customWidth="1"/>
    <col min="2" max="5" width="34.625" customWidth="1"/>
    <col min="6" max="6" width="33.125" style="5" customWidth="1"/>
    <col min="7" max="7" width="37" customWidth="1"/>
    <col min="8" max="8" width="25.5" customWidth="1"/>
    <col min="9" max="9" width="37" customWidth="1"/>
    <col min="10" max="10" width="24.375" customWidth="1"/>
    <col min="11" max="11" width="13" customWidth="1"/>
    <col min="12" max="12" width="44.375" style="5" customWidth="1"/>
    <col min="13" max="13" width="21.875" style="5" customWidth="1"/>
    <col min="14" max="14" width="25.875" style="5" customWidth="1"/>
  </cols>
  <sheetData>
    <row r="1" spans="1:28" s="5" customFormat="1" ht="105.75" thickBot="1" x14ac:dyDescent="0.4">
      <c r="A1" s="3" t="s">
        <v>56</v>
      </c>
      <c r="B1" s="3" t="s">
        <v>57</v>
      </c>
      <c r="C1" s="10" t="s">
        <v>82</v>
      </c>
      <c r="D1" s="10" t="s">
        <v>112</v>
      </c>
      <c r="E1" s="10" t="s">
        <v>127</v>
      </c>
      <c r="F1" s="10" t="s">
        <v>278</v>
      </c>
      <c r="G1" s="10" t="s">
        <v>277</v>
      </c>
      <c r="H1" s="10" t="s">
        <v>479</v>
      </c>
      <c r="I1" s="8" t="s">
        <v>279</v>
      </c>
      <c r="J1" s="10" t="s">
        <v>280</v>
      </c>
      <c r="K1" s="10" t="s">
        <v>281</v>
      </c>
      <c r="L1" s="10" t="s">
        <v>375</v>
      </c>
      <c r="M1" s="10" t="s">
        <v>376</v>
      </c>
      <c r="N1" s="10" t="s">
        <v>377</v>
      </c>
      <c r="O1" s="10" t="s">
        <v>480</v>
      </c>
      <c r="P1" s="10" t="s">
        <v>481</v>
      </c>
      <c r="Q1" s="10" t="s">
        <v>482</v>
      </c>
      <c r="R1" s="10" t="s">
        <v>483</v>
      </c>
      <c r="S1" s="10" t="s">
        <v>484</v>
      </c>
      <c r="T1" s="10" t="s">
        <v>485</v>
      </c>
      <c r="U1" s="10" t="s">
        <v>486</v>
      </c>
      <c r="V1" s="10" t="s">
        <v>487</v>
      </c>
      <c r="W1" s="10" t="s">
        <v>488</v>
      </c>
      <c r="X1" s="10" t="s">
        <v>489</v>
      </c>
      <c r="Y1" s="10" t="s">
        <v>490</v>
      </c>
      <c r="Z1" s="10" t="s">
        <v>491</v>
      </c>
      <c r="AA1" s="10" t="s">
        <v>502</v>
      </c>
      <c r="AB1" s="10" t="s">
        <v>493</v>
      </c>
    </row>
    <row r="2" spans="1:28" ht="31.5" x14ac:dyDescent="0.25">
      <c r="A2" s="4" t="s">
        <v>0</v>
      </c>
      <c r="B2" s="1" t="s">
        <v>28</v>
      </c>
      <c r="C2" s="5" t="s">
        <v>134</v>
      </c>
      <c r="D2" s="5" t="s">
        <v>160</v>
      </c>
      <c r="F2" s="5" t="s">
        <v>179</v>
      </c>
      <c r="G2" s="5"/>
      <c r="I2" s="5"/>
      <c r="L2" s="5" t="s">
        <v>459</v>
      </c>
      <c r="M2" s="5" t="s">
        <v>445</v>
      </c>
      <c r="O2">
        <f>LEN(C2)-LEN(SUBSTITUTE(C2,",",""))</f>
        <v>1</v>
      </c>
      <c r="P2">
        <f t="shared" ref="P2:Y2" si="0">LEN(D2)-LEN(SUBSTITUTE(D2,",",""))</f>
        <v>1</v>
      </c>
      <c r="Q2">
        <f t="shared" si="0"/>
        <v>0</v>
      </c>
      <c r="R2">
        <f t="shared" si="0"/>
        <v>1</v>
      </c>
      <c r="S2">
        <f t="shared" si="0"/>
        <v>0</v>
      </c>
      <c r="T2">
        <f t="shared" si="0"/>
        <v>0</v>
      </c>
      <c r="U2">
        <f t="shared" si="0"/>
        <v>0</v>
      </c>
      <c r="V2">
        <f t="shared" si="0"/>
        <v>0</v>
      </c>
      <c r="W2">
        <f t="shared" si="0"/>
        <v>0</v>
      </c>
      <c r="X2">
        <f t="shared" si="0"/>
        <v>1</v>
      </c>
      <c r="Y2">
        <f t="shared" si="0"/>
        <v>1</v>
      </c>
      <c r="Z2">
        <f>LEN(N2)-LEN(SUBSTITUTE(N2,",",""))</f>
        <v>0</v>
      </c>
      <c r="AA2">
        <f>SUM(O2:Z2)</f>
        <v>5</v>
      </c>
      <c r="AB2">
        <f t="shared" ref="AB2:AB33" si="1">IF(1-AA2/$AA$35=1,"",1-AA2/$AA$35)</f>
        <v>0.97596153846153844</v>
      </c>
    </row>
    <row r="3" spans="1:28" ht="110.25" x14ac:dyDescent="0.25">
      <c r="A3" s="6" t="s">
        <v>1</v>
      </c>
      <c r="B3" s="2" t="s">
        <v>58</v>
      </c>
      <c r="C3" s="5"/>
      <c r="F3" s="5" t="s">
        <v>195</v>
      </c>
      <c r="I3" s="5" t="s">
        <v>289</v>
      </c>
      <c r="O3">
        <f t="shared" ref="O3:O33" si="2">LEN(C3)-LEN(SUBSTITUTE(C3,",",""))</f>
        <v>0</v>
      </c>
      <c r="P3">
        <f t="shared" ref="P3:P33" si="3">LEN(D3)-LEN(SUBSTITUTE(D3,",",""))</f>
        <v>0</v>
      </c>
      <c r="Q3">
        <f t="shared" ref="Q3:Q33" si="4">LEN(E3)-LEN(SUBSTITUTE(E3,",",""))</f>
        <v>0</v>
      </c>
      <c r="R3">
        <f t="shared" ref="R3:R33" si="5">LEN(F3)-LEN(SUBSTITUTE(F3,",",""))</f>
        <v>4</v>
      </c>
      <c r="S3">
        <f t="shared" ref="S3:S33" si="6">LEN(G3)-LEN(SUBSTITUTE(G3,",",""))</f>
        <v>0</v>
      </c>
      <c r="T3">
        <f t="shared" ref="T3:T33" si="7">LEN(H3)-LEN(SUBSTITUTE(H3,",",""))</f>
        <v>0</v>
      </c>
      <c r="U3">
        <f t="shared" ref="U3:U33" si="8">LEN(I3)-LEN(SUBSTITUTE(I3,",",""))</f>
        <v>2</v>
      </c>
      <c r="V3">
        <f t="shared" ref="V3:V33" si="9">LEN(J3)-LEN(SUBSTITUTE(J3,",",""))</f>
        <v>0</v>
      </c>
      <c r="W3">
        <f t="shared" ref="W3:W33" si="10">LEN(K3)-LEN(SUBSTITUTE(K3,",",""))</f>
        <v>0</v>
      </c>
      <c r="X3">
        <f t="shared" ref="X3:X33" si="11">LEN(L3)-LEN(SUBSTITUTE(L3,",",""))</f>
        <v>0</v>
      </c>
      <c r="Y3">
        <f t="shared" ref="Y3:Y33" si="12">LEN(M3)-LEN(SUBSTITUTE(M3,",",""))</f>
        <v>0</v>
      </c>
      <c r="Z3">
        <f t="shared" ref="Z3:Z33" si="13">LEN(N3)-LEN(SUBSTITUTE(N3,",",""))</f>
        <v>0</v>
      </c>
      <c r="AA3">
        <f t="shared" ref="AA3:AA33" si="14">SUM(O3:Z3)</f>
        <v>6</v>
      </c>
      <c r="AB3">
        <f t="shared" si="1"/>
        <v>0.97115384615384615</v>
      </c>
    </row>
    <row r="4" spans="1:28" ht="94.5" x14ac:dyDescent="0.25">
      <c r="A4" s="6" t="s">
        <v>2</v>
      </c>
      <c r="B4" s="2" t="s">
        <v>29</v>
      </c>
      <c r="C4" s="5"/>
      <c r="F4" s="5" t="s">
        <v>192</v>
      </c>
      <c r="G4" s="5" t="s">
        <v>264</v>
      </c>
      <c r="H4" s="5" t="s">
        <v>274</v>
      </c>
      <c r="I4" s="5" t="s">
        <v>296</v>
      </c>
      <c r="J4" s="5" t="s">
        <v>335</v>
      </c>
      <c r="K4" s="5" t="s">
        <v>321</v>
      </c>
      <c r="L4" s="5" t="s">
        <v>464</v>
      </c>
      <c r="M4" s="5" t="s">
        <v>450</v>
      </c>
      <c r="N4" s="5" t="s">
        <v>428</v>
      </c>
      <c r="O4">
        <f t="shared" si="2"/>
        <v>0</v>
      </c>
      <c r="P4">
        <f t="shared" si="3"/>
        <v>0</v>
      </c>
      <c r="Q4">
        <f t="shared" si="4"/>
        <v>0</v>
      </c>
      <c r="R4">
        <f t="shared" si="5"/>
        <v>8</v>
      </c>
      <c r="S4">
        <f t="shared" si="6"/>
        <v>4</v>
      </c>
      <c r="T4">
        <f t="shared" si="7"/>
        <v>2</v>
      </c>
      <c r="U4">
        <f t="shared" si="8"/>
        <v>3</v>
      </c>
      <c r="V4">
        <f t="shared" si="9"/>
        <v>2</v>
      </c>
      <c r="W4">
        <f t="shared" si="10"/>
        <v>1</v>
      </c>
      <c r="X4">
        <f t="shared" si="11"/>
        <v>2</v>
      </c>
      <c r="Y4">
        <f t="shared" si="12"/>
        <v>1</v>
      </c>
      <c r="Z4">
        <f t="shared" si="13"/>
        <v>1</v>
      </c>
      <c r="AA4">
        <f t="shared" si="14"/>
        <v>24</v>
      </c>
      <c r="AB4">
        <f t="shared" si="1"/>
        <v>0.88461538461538458</v>
      </c>
    </row>
    <row r="5" spans="1:28" ht="78.75" x14ac:dyDescent="0.25">
      <c r="A5" s="6" t="s">
        <v>3</v>
      </c>
      <c r="B5" s="2" t="s">
        <v>30</v>
      </c>
      <c r="C5" s="5"/>
      <c r="I5" s="5" t="s">
        <v>292</v>
      </c>
      <c r="J5" t="s">
        <v>333</v>
      </c>
      <c r="K5" t="s">
        <v>332</v>
      </c>
      <c r="O5">
        <f t="shared" si="2"/>
        <v>0</v>
      </c>
      <c r="P5">
        <f t="shared" si="3"/>
        <v>0</v>
      </c>
      <c r="Q5">
        <f t="shared" si="4"/>
        <v>0</v>
      </c>
      <c r="R5">
        <f t="shared" si="5"/>
        <v>0</v>
      </c>
      <c r="S5">
        <f t="shared" si="6"/>
        <v>0</v>
      </c>
      <c r="T5">
        <f t="shared" si="7"/>
        <v>0</v>
      </c>
      <c r="U5">
        <f t="shared" si="8"/>
        <v>1</v>
      </c>
      <c r="V5">
        <f t="shared" si="9"/>
        <v>0</v>
      </c>
      <c r="W5">
        <f t="shared" si="10"/>
        <v>1</v>
      </c>
      <c r="X5">
        <f t="shared" si="11"/>
        <v>0</v>
      </c>
      <c r="Y5">
        <f t="shared" si="12"/>
        <v>0</v>
      </c>
      <c r="Z5">
        <f t="shared" si="13"/>
        <v>0</v>
      </c>
      <c r="AA5">
        <f t="shared" si="14"/>
        <v>2</v>
      </c>
      <c r="AB5">
        <f t="shared" si="1"/>
        <v>0.99038461538461542</v>
      </c>
    </row>
    <row r="6" spans="1:28" ht="31.5" x14ac:dyDescent="0.25">
      <c r="A6" s="6" t="s">
        <v>4</v>
      </c>
      <c r="B6" s="2" t="s">
        <v>31</v>
      </c>
      <c r="C6" s="5" t="s">
        <v>135</v>
      </c>
      <c r="D6" s="5" t="s">
        <v>150</v>
      </c>
      <c r="F6" s="5" t="s">
        <v>182</v>
      </c>
      <c r="G6" s="5" t="s">
        <v>254</v>
      </c>
      <c r="H6" s="5" t="s">
        <v>239</v>
      </c>
      <c r="I6" s="5"/>
      <c r="J6" s="5" t="s">
        <v>306</v>
      </c>
      <c r="L6" s="5" t="s">
        <v>462</v>
      </c>
      <c r="M6" s="5" t="s">
        <v>436</v>
      </c>
      <c r="O6">
        <f t="shared" si="2"/>
        <v>2</v>
      </c>
      <c r="P6">
        <f t="shared" si="3"/>
        <v>1</v>
      </c>
      <c r="Q6">
        <f t="shared" si="4"/>
        <v>0</v>
      </c>
      <c r="R6">
        <f t="shared" si="5"/>
        <v>2</v>
      </c>
      <c r="S6">
        <f t="shared" si="6"/>
        <v>1</v>
      </c>
      <c r="T6">
        <f t="shared" si="7"/>
        <v>1</v>
      </c>
      <c r="U6">
        <f t="shared" si="8"/>
        <v>0</v>
      </c>
      <c r="V6">
        <f t="shared" si="9"/>
        <v>1</v>
      </c>
      <c r="W6">
        <f t="shared" si="10"/>
        <v>0</v>
      </c>
      <c r="X6">
        <f t="shared" si="11"/>
        <v>2</v>
      </c>
      <c r="Y6">
        <f t="shared" si="12"/>
        <v>1</v>
      </c>
      <c r="Z6">
        <f t="shared" si="13"/>
        <v>0</v>
      </c>
      <c r="AA6">
        <f t="shared" si="14"/>
        <v>11</v>
      </c>
      <c r="AB6">
        <f t="shared" si="1"/>
        <v>0.94711538461538458</v>
      </c>
    </row>
    <row r="7" spans="1:28" ht="31.5" x14ac:dyDescent="0.25">
      <c r="A7" s="6" t="s">
        <v>5</v>
      </c>
      <c r="B7" s="2" t="s">
        <v>32</v>
      </c>
      <c r="C7" s="5" t="s">
        <v>147</v>
      </c>
      <c r="D7" s="5" t="s">
        <v>151</v>
      </c>
      <c r="E7" s="5" t="s">
        <v>170</v>
      </c>
      <c r="F7" s="5" t="s">
        <v>198</v>
      </c>
      <c r="G7" s="5" t="s">
        <v>248</v>
      </c>
      <c r="H7" s="5"/>
      <c r="I7" s="5" t="s">
        <v>285</v>
      </c>
      <c r="J7" s="5" t="s">
        <v>313</v>
      </c>
      <c r="L7" s="5" t="s">
        <v>476</v>
      </c>
      <c r="M7" s="5" t="s">
        <v>438</v>
      </c>
      <c r="N7" s="5" t="s">
        <v>428</v>
      </c>
      <c r="O7">
        <f t="shared" si="2"/>
        <v>3</v>
      </c>
      <c r="P7">
        <f t="shared" si="3"/>
        <v>1</v>
      </c>
      <c r="Q7">
        <f t="shared" si="4"/>
        <v>1</v>
      </c>
      <c r="R7">
        <f t="shared" si="5"/>
        <v>4</v>
      </c>
      <c r="S7">
        <f t="shared" si="6"/>
        <v>2</v>
      </c>
      <c r="T7">
        <f t="shared" si="7"/>
        <v>0</v>
      </c>
      <c r="U7">
        <f t="shared" si="8"/>
        <v>2</v>
      </c>
      <c r="V7">
        <f t="shared" si="9"/>
        <v>2</v>
      </c>
      <c r="W7">
        <f t="shared" si="10"/>
        <v>0</v>
      </c>
      <c r="X7">
        <f t="shared" si="11"/>
        <v>3</v>
      </c>
      <c r="Y7">
        <f t="shared" si="12"/>
        <v>1</v>
      </c>
      <c r="Z7">
        <f t="shared" si="13"/>
        <v>1</v>
      </c>
      <c r="AA7">
        <f t="shared" si="14"/>
        <v>20</v>
      </c>
      <c r="AB7">
        <f t="shared" si="1"/>
        <v>0.90384615384615385</v>
      </c>
    </row>
    <row r="8" spans="1:28" ht="141.75" x14ac:dyDescent="0.25">
      <c r="A8" s="6" t="s">
        <v>6</v>
      </c>
      <c r="B8" s="2" t="s">
        <v>33</v>
      </c>
      <c r="C8" s="5" t="s">
        <v>146</v>
      </c>
      <c r="D8" s="5" t="s">
        <v>165</v>
      </c>
      <c r="E8" s="5" t="s">
        <v>175</v>
      </c>
      <c r="F8" s="5" t="s">
        <v>196</v>
      </c>
      <c r="G8" s="5" t="s">
        <v>266</v>
      </c>
      <c r="H8" s="5" t="s">
        <v>273</v>
      </c>
      <c r="I8" s="5" t="s">
        <v>301</v>
      </c>
      <c r="J8" s="5" t="s">
        <v>340</v>
      </c>
      <c r="K8" s="5" t="s">
        <v>327</v>
      </c>
      <c r="L8" s="5" t="s">
        <v>475</v>
      </c>
      <c r="M8" s="5" t="s">
        <v>456</v>
      </c>
      <c r="N8" s="5" t="s">
        <v>431</v>
      </c>
      <c r="O8">
        <f t="shared" si="2"/>
        <v>13</v>
      </c>
      <c r="P8">
        <f t="shared" si="3"/>
        <v>7</v>
      </c>
      <c r="Q8">
        <f t="shared" si="4"/>
        <v>3</v>
      </c>
      <c r="R8">
        <f t="shared" si="5"/>
        <v>18</v>
      </c>
      <c r="S8">
        <f t="shared" si="6"/>
        <v>11</v>
      </c>
      <c r="T8">
        <f t="shared" si="7"/>
        <v>5</v>
      </c>
      <c r="U8">
        <f t="shared" si="8"/>
        <v>5</v>
      </c>
      <c r="V8">
        <f t="shared" si="9"/>
        <v>7</v>
      </c>
      <c r="W8">
        <f t="shared" si="10"/>
        <v>4</v>
      </c>
      <c r="X8">
        <f t="shared" si="11"/>
        <v>14</v>
      </c>
      <c r="Y8">
        <f t="shared" si="12"/>
        <v>9</v>
      </c>
      <c r="Z8">
        <f t="shared" si="13"/>
        <v>2</v>
      </c>
      <c r="AA8">
        <f t="shared" si="14"/>
        <v>98</v>
      </c>
      <c r="AB8">
        <f t="shared" si="1"/>
        <v>0.52884615384615385</v>
      </c>
    </row>
    <row r="9" spans="1:28" ht="63" x14ac:dyDescent="0.25">
      <c r="A9" s="6" t="s">
        <v>7</v>
      </c>
      <c r="B9" s="2" t="s">
        <v>34</v>
      </c>
      <c r="C9" s="5" t="s">
        <v>90</v>
      </c>
      <c r="D9" s="5" t="s">
        <v>152</v>
      </c>
      <c r="F9" s="5" t="s">
        <v>181</v>
      </c>
      <c r="G9" s="5" t="s">
        <v>223</v>
      </c>
      <c r="I9" s="5" t="s">
        <v>293</v>
      </c>
      <c r="J9" s="5" t="s">
        <v>336</v>
      </c>
      <c r="K9" s="5" t="s">
        <v>321</v>
      </c>
      <c r="L9" s="5" t="s">
        <v>461</v>
      </c>
      <c r="M9" s="5" t="s">
        <v>452</v>
      </c>
      <c r="O9">
        <f t="shared" si="2"/>
        <v>1</v>
      </c>
      <c r="P9">
        <f t="shared" si="3"/>
        <v>1</v>
      </c>
      <c r="Q9">
        <f t="shared" si="4"/>
        <v>0</v>
      </c>
      <c r="R9">
        <f t="shared" si="5"/>
        <v>1</v>
      </c>
      <c r="S9">
        <f t="shared" si="6"/>
        <v>1</v>
      </c>
      <c r="T9">
        <f t="shared" si="7"/>
        <v>0</v>
      </c>
      <c r="U9">
        <f t="shared" si="8"/>
        <v>2</v>
      </c>
      <c r="V9">
        <f t="shared" si="9"/>
        <v>3</v>
      </c>
      <c r="W9">
        <f t="shared" si="10"/>
        <v>1</v>
      </c>
      <c r="X9">
        <f t="shared" si="11"/>
        <v>1</v>
      </c>
      <c r="Y9">
        <f t="shared" si="12"/>
        <v>3</v>
      </c>
      <c r="Z9">
        <f t="shared" si="13"/>
        <v>0</v>
      </c>
      <c r="AA9">
        <f t="shared" si="14"/>
        <v>14</v>
      </c>
      <c r="AB9">
        <f t="shared" si="1"/>
        <v>0.93269230769230771</v>
      </c>
    </row>
    <row r="10" spans="1:28" ht="47.25" x14ac:dyDescent="0.25">
      <c r="A10" s="7" t="s">
        <v>61</v>
      </c>
      <c r="B10" s="2" t="s">
        <v>35</v>
      </c>
      <c r="C10" s="5" t="s">
        <v>136</v>
      </c>
      <c r="D10" s="5" t="s">
        <v>159</v>
      </c>
      <c r="F10" s="5" t="s">
        <v>183</v>
      </c>
      <c r="G10" s="5" t="s">
        <v>251</v>
      </c>
      <c r="I10" s="5" t="s">
        <v>290</v>
      </c>
      <c r="J10" s="5" t="s">
        <v>305</v>
      </c>
      <c r="L10" s="5" t="s">
        <v>425</v>
      </c>
      <c r="M10" s="5" t="s">
        <v>444</v>
      </c>
      <c r="O10">
        <f t="shared" si="2"/>
        <v>1</v>
      </c>
      <c r="P10">
        <f t="shared" si="3"/>
        <v>1</v>
      </c>
      <c r="Q10">
        <f t="shared" si="4"/>
        <v>0</v>
      </c>
      <c r="R10">
        <f t="shared" si="5"/>
        <v>1</v>
      </c>
      <c r="S10">
        <f t="shared" si="6"/>
        <v>2</v>
      </c>
      <c r="T10">
        <f t="shared" si="7"/>
        <v>0</v>
      </c>
      <c r="U10">
        <f t="shared" si="8"/>
        <v>1</v>
      </c>
      <c r="V10">
        <f t="shared" si="9"/>
        <v>1</v>
      </c>
      <c r="W10">
        <f t="shared" si="10"/>
        <v>0</v>
      </c>
      <c r="X10">
        <f t="shared" si="11"/>
        <v>1</v>
      </c>
      <c r="Y10">
        <f t="shared" si="12"/>
        <v>1</v>
      </c>
      <c r="Z10">
        <f t="shared" si="13"/>
        <v>0</v>
      </c>
      <c r="AA10">
        <f t="shared" si="14"/>
        <v>9</v>
      </c>
      <c r="AB10">
        <f t="shared" si="1"/>
        <v>0.95673076923076927</v>
      </c>
    </row>
    <row r="11" spans="1:28" ht="94.5" x14ac:dyDescent="0.25">
      <c r="A11" s="6" t="s">
        <v>8</v>
      </c>
      <c r="B11" s="2" t="s">
        <v>36</v>
      </c>
      <c r="C11" s="5"/>
      <c r="E11" t="s">
        <v>171</v>
      </c>
      <c r="I11" s="5"/>
      <c r="J11" s="5" t="s">
        <v>333</v>
      </c>
      <c r="K11" t="s">
        <v>324</v>
      </c>
      <c r="N11" s="5" t="s">
        <v>430</v>
      </c>
      <c r="O11">
        <f t="shared" si="2"/>
        <v>0</v>
      </c>
      <c r="P11">
        <f t="shared" si="3"/>
        <v>0</v>
      </c>
      <c r="Q11">
        <f t="shared" si="4"/>
        <v>1</v>
      </c>
      <c r="R11">
        <f t="shared" si="5"/>
        <v>0</v>
      </c>
      <c r="S11">
        <f t="shared" si="6"/>
        <v>0</v>
      </c>
      <c r="T11">
        <f t="shared" si="7"/>
        <v>0</v>
      </c>
      <c r="U11">
        <f t="shared" si="8"/>
        <v>0</v>
      </c>
      <c r="V11">
        <f t="shared" si="9"/>
        <v>0</v>
      </c>
      <c r="W11">
        <f t="shared" si="10"/>
        <v>1</v>
      </c>
      <c r="X11">
        <f t="shared" si="11"/>
        <v>0</v>
      </c>
      <c r="Y11">
        <f t="shared" si="12"/>
        <v>0</v>
      </c>
      <c r="Z11">
        <f t="shared" si="13"/>
        <v>1</v>
      </c>
      <c r="AA11">
        <f t="shared" si="14"/>
        <v>3</v>
      </c>
      <c r="AB11">
        <f t="shared" si="1"/>
        <v>0.98557692307692313</v>
      </c>
    </row>
    <row r="12" spans="1:28" ht="63" x14ac:dyDescent="0.25">
      <c r="A12" s="6" t="s">
        <v>9</v>
      </c>
      <c r="B12" s="2" t="s">
        <v>37</v>
      </c>
      <c r="C12" s="5"/>
      <c r="D12" s="5" t="s">
        <v>158</v>
      </c>
      <c r="F12" s="5" t="s">
        <v>185</v>
      </c>
      <c r="G12" s="5" t="s">
        <v>260</v>
      </c>
      <c r="I12" s="5" t="s">
        <v>294</v>
      </c>
      <c r="J12" s="5" t="s">
        <v>338</v>
      </c>
      <c r="K12" s="5" t="s">
        <v>325</v>
      </c>
      <c r="M12" s="5" t="s">
        <v>443</v>
      </c>
      <c r="O12">
        <f t="shared" si="2"/>
        <v>0</v>
      </c>
      <c r="P12">
        <f t="shared" si="3"/>
        <v>1</v>
      </c>
      <c r="Q12">
        <f t="shared" si="4"/>
        <v>0</v>
      </c>
      <c r="R12">
        <f t="shared" si="5"/>
        <v>4</v>
      </c>
      <c r="S12">
        <f t="shared" si="6"/>
        <v>2</v>
      </c>
      <c r="T12">
        <f t="shared" si="7"/>
        <v>0</v>
      </c>
      <c r="U12">
        <f t="shared" si="8"/>
        <v>4</v>
      </c>
      <c r="V12">
        <f t="shared" si="9"/>
        <v>1</v>
      </c>
      <c r="W12">
        <f t="shared" si="10"/>
        <v>1</v>
      </c>
      <c r="X12">
        <f t="shared" si="11"/>
        <v>0</v>
      </c>
      <c r="Y12">
        <f t="shared" si="12"/>
        <v>1</v>
      </c>
      <c r="Z12">
        <f t="shared" si="13"/>
        <v>0</v>
      </c>
      <c r="AA12">
        <f t="shared" si="14"/>
        <v>14</v>
      </c>
      <c r="AB12">
        <f t="shared" si="1"/>
        <v>0.93269230769230771</v>
      </c>
    </row>
    <row r="13" spans="1:28" ht="47.25" x14ac:dyDescent="0.25">
      <c r="A13" s="6" t="s">
        <v>10</v>
      </c>
      <c r="B13" s="2" t="s">
        <v>38</v>
      </c>
      <c r="C13" s="5" t="s">
        <v>89</v>
      </c>
      <c r="D13" s="5" t="s">
        <v>155</v>
      </c>
      <c r="F13" s="5" t="s">
        <v>180</v>
      </c>
      <c r="G13" s="5" t="s">
        <v>250</v>
      </c>
      <c r="I13" s="5" t="s">
        <v>297</v>
      </c>
      <c r="J13" s="5" t="s">
        <v>341</v>
      </c>
      <c r="K13" s="5" t="s">
        <v>326</v>
      </c>
      <c r="L13" s="5" t="s">
        <v>460</v>
      </c>
      <c r="M13" s="5" t="s">
        <v>441</v>
      </c>
      <c r="O13">
        <f t="shared" si="2"/>
        <v>1</v>
      </c>
      <c r="P13">
        <f t="shared" si="3"/>
        <v>2</v>
      </c>
      <c r="Q13">
        <f t="shared" si="4"/>
        <v>0</v>
      </c>
      <c r="R13">
        <f t="shared" si="5"/>
        <v>1</v>
      </c>
      <c r="S13">
        <f t="shared" si="6"/>
        <v>2</v>
      </c>
      <c r="T13">
        <f t="shared" si="7"/>
        <v>0</v>
      </c>
      <c r="U13">
        <f t="shared" si="8"/>
        <v>4</v>
      </c>
      <c r="V13">
        <f t="shared" si="9"/>
        <v>1</v>
      </c>
      <c r="W13">
        <f t="shared" si="10"/>
        <v>2</v>
      </c>
      <c r="X13">
        <f t="shared" si="11"/>
        <v>1</v>
      </c>
      <c r="Y13">
        <f t="shared" si="12"/>
        <v>2</v>
      </c>
      <c r="Z13">
        <f t="shared" si="13"/>
        <v>0</v>
      </c>
      <c r="AA13">
        <f t="shared" si="14"/>
        <v>16</v>
      </c>
      <c r="AB13">
        <f t="shared" si="1"/>
        <v>0.92307692307692313</v>
      </c>
    </row>
    <row r="14" spans="1:28" ht="63" x14ac:dyDescent="0.25">
      <c r="A14" s="6" t="s">
        <v>11</v>
      </c>
      <c r="B14" s="2" t="s">
        <v>39</v>
      </c>
      <c r="C14" s="5" t="s">
        <v>140</v>
      </c>
      <c r="F14" s="5" t="s">
        <v>186</v>
      </c>
      <c r="G14" s="5" t="s">
        <v>259</v>
      </c>
      <c r="I14" s="5"/>
      <c r="J14" s="5" t="s">
        <v>309</v>
      </c>
      <c r="L14" s="5" t="s">
        <v>469</v>
      </c>
      <c r="O14">
        <f t="shared" si="2"/>
        <v>1</v>
      </c>
      <c r="P14">
        <f t="shared" si="3"/>
        <v>0</v>
      </c>
      <c r="Q14">
        <f t="shared" si="4"/>
        <v>0</v>
      </c>
      <c r="R14">
        <f t="shared" si="5"/>
        <v>2</v>
      </c>
      <c r="S14">
        <f t="shared" si="6"/>
        <v>3</v>
      </c>
      <c r="T14">
        <f t="shared" si="7"/>
        <v>0</v>
      </c>
      <c r="U14">
        <f t="shared" si="8"/>
        <v>0</v>
      </c>
      <c r="V14">
        <f t="shared" si="9"/>
        <v>2</v>
      </c>
      <c r="W14">
        <f t="shared" si="10"/>
        <v>0</v>
      </c>
      <c r="X14">
        <f t="shared" si="11"/>
        <v>2</v>
      </c>
      <c r="Y14">
        <f t="shared" si="12"/>
        <v>0</v>
      </c>
      <c r="Z14">
        <f t="shared" si="13"/>
        <v>0</v>
      </c>
      <c r="AA14">
        <f t="shared" si="14"/>
        <v>10</v>
      </c>
      <c r="AB14">
        <f t="shared" si="1"/>
        <v>0.95192307692307687</v>
      </c>
    </row>
    <row r="15" spans="1:28" ht="78.75" x14ac:dyDescent="0.25">
      <c r="A15" s="6" t="s">
        <v>12</v>
      </c>
      <c r="B15" s="2" t="s">
        <v>40</v>
      </c>
      <c r="C15" s="5" t="s">
        <v>137</v>
      </c>
      <c r="D15" s="5" t="s">
        <v>154</v>
      </c>
      <c r="F15" s="5" t="s">
        <v>199</v>
      </c>
      <c r="G15" s="5" t="s">
        <v>257</v>
      </c>
      <c r="H15" s="5" t="s">
        <v>269</v>
      </c>
      <c r="I15" s="5" t="s">
        <v>286</v>
      </c>
      <c r="J15" s="5" t="s">
        <v>333</v>
      </c>
      <c r="K15" s="5" t="s">
        <v>320</v>
      </c>
      <c r="L15" s="5" t="s">
        <v>465</v>
      </c>
      <c r="M15" s="5" t="s">
        <v>440</v>
      </c>
      <c r="N15" s="5" t="s">
        <v>427</v>
      </c>
      <c r="O15">
        <f t="shared" si="2"/>
        <v>4</v>
      </c>
      <c r="P15">
        <f t="shared" si="3"/>
        <v>2</v>
      </c>
      <c r="Q15">
        <f t="shared" si="4"/>
        <v>0</v>
      </c>
      <c r="R15">
        <f t="shared" si="5"/>
        <v>12</v>
      </c>
      <c r="S15">
        <f t="shared" si="6"/>
        <v>9</v>
      </c>
      <c r="T15">
        <f t="shared" si="7"/>
        <v>3</v>
      </c>
      <c r="U15">
        <f t="shared" si="8"/>
        <v>3</v>
      </c>
      <c r="V15">
        <f t="shared" si="9"/>
        <v>0</v>
      </c>
      <c r="W15">
        <f t="shared" si="10"/>
        <v>1</v>
      </c>
      <c r="X15">
        <f t="shared" si="11"/>
        <v>4</v>
      </c>
      <c r="Y15">
        <f t="shared" si="12"/>
        <v>2</v>
      </c>
      <c r="Z15">
        <f t="shared" si="13"/>
        <v>1</v>
      </c>
      <c r="AA15">
        <f t="shared" si="14"/>
        <v>41</v>
      </c>
      <c r="AB15">
        <f t="shared" si="1"/>
        <v>0.80288461538461542</v>
      </c>
    </row>
    <row r="16" spans="1:28" ht="47.25" x14ac:dyDescent="0.25">
      <c r="A16" s="6" t="s">
        <v>13</v>
      </c>
      <c r="B16" s="2" t="s">
        <v>41</v>
      </c>
      <c r="C16" s="5"/>
      <c r="D16" s="5" t="s">
        <v>162</v>
      </c>
      <c r="G16" s="5" t="s">
        <v>229</v>
      </c>
      <c r="H16" s="5" t="s">
        <v>271</v>
      </c>
      <c r="I16" s="5" t="s">
        <v>291</v>
      </c>
      <c r="J16" s="5" t="s">
        <v>333</v>
      </c>
      <c r="K16" s="5" t="s">
        <v>324</v>
      </c>
      <c r="M16" s="5" t="s">
        <v>447</v>
      </c>
      <c r="O16">
        <f t="shared" si="2"/>
        <v>0</v>
      </c>
      <c r="P16">
        <f t="shared" si="3"/>
        <v>1</v>
      </c>
      <c r="Q16">
        <f t="shared" si="4"/>
        <v>0</v>
      </c>
      <c r="R16">
        <f t="shared" si="5"/>
        <v>0</v>
      </c>
      <c r="S16">
        <f t="shared" si="6"/>
        <v>1</v>
      </c>
      <c r="T16">
        <f t="shared" si="7"/>
        <v>1</v>
      </c>
      <c r="U16">
        <f t="shared" si="8"/>
        <v>1</v>
      </c>
      <c r="V16">
        <f t="shared" si="9"/>
        <v>0</v>
      </c>
      <c r="W16">
        <f t="shared" si="10"/>
        <v>1</v>
      </c>
      <c r="X16">
        <f t="shared" si="11"/>
        <v>0</v>
      </c>
      <c r="Y16">
        <f t="shared" si="12"/>
        <v>3</v>
      </c>
      <c r="Z16">
        <f t="shared" si="13"/>
        <v>0</v>
      </c>
      <c r="AA16">
        <f t="shared" si="14"/>
        <v>8</v>
      </c>
      <c r="AB16">
        <f t="shared" si="1"/>
        <v>0.96153846153846156</v>
      </c>
    </row>
    <row r="17" spans="1:28" ht="47.25" x14ac:dyDescent="0.25">
      <c r="A17" s="6" t="s">
        <v>14</v>
      </c>
      <c r="B17" s="2" t="s">
        <v>42</v>
      </c>
      <c r="C17" s="5" t="s">
        <v>141</v>
      </c>
      <c r="D17" s="5" t="s">
        <v>166</v>
      </c>
      <c r="F17" s="5" t="s">
        <v>190</v>
      </c>
      <c r="G17" s="5"/>
      <c r="I17" s="5"/>
      <c r="J17" t="s">
        <v>310</v>
      </c>
      <c r="L17" s="5" t="s">
        <v>470</v>
      </c>
      <c r="M17" s="5" t="s">
        <v>453</v>
      </c>
      <c r="O17">
        <f t="shared" si="2"/>
        <v>1</v>
      </c>
      <c r="P17">
        <f t="shared" si="3"/>
        <v>1</v>
      </c>
      <c r="Q17">
        <f t="shared" si="4"/>
        <v>0</v>
      </c>
      <c r="R17">
        <f t="shared" si="5"/>
        <v>1</v>
      </c>
      <c r="S17">
        <f t="shared" si="6"/>
        <v>0</v>
      </c>
      <c r="T17">
        <f t="shared" si="7"/>
        <v>0</v>
      </c>
      <c r="U17">
        <f t="shared" si="8"/>
        <v>0</v>
      </c>
      <c r="V17">
        <f t="shared" si="9"/>
        <v>1</v>
      </c>
      <c r="W17">
        <f t="shared" si="10"/>
        <v>0</v>
      </c>
      <c r="X17">
        <f t="shared" si="11"/>
        <v>1</v>
      </c>
      <c r="Y17">
        <f t="shared" si="12"/>
        <v>1</v>
      </c>
      <c r="Z17">
        <f t="shared" si="13"/>
        <v>0</v>
      </c>
      <c r="AA17">
        <f t="shared" si="14"/>
        <v>6</v>
      </c>
      <c r="AB17">
        <f t="shared" si="1"/>
        <v>0.97115384615384615</v>
      </c>
    </row>
    <row r="18" spans="1:28" ht="78.75" x14ac:dyDescent="0.25">
      <c r="A18" s="6" t="s">
        <v>15</v>
      </c>
      <c r="B18" s="2" t="s">
        <v>43</v>
      </c>
      <c r="C18" s="5" t="s">
        <v>144</v>
      </c>
      <c r="D18" s="5" t="s">
        <v>164</v>
      </c>
      <c r="F18" s="5" t="s">
        <v>193</v>
      </c>
      <c r="G18" s="5" t="s">
        <v>258</v>
      </c>
      <c r="H18" s="5" t="s">
        <v>271</v>
      </c>
      <c r="I18" s="5" t="s">
        <v>287</v>
      </c>
      <c r="J18" s="5" t="s">
        <v>343</v>
      </c>
      <c r="K18" s="5" t="s">
        <v>330</v>
      </c>
      <c r="L18" s="5" t="s">
        <v>473</v>
      </c>
      <c r="M18" s="5" t="s">
        <v>451</v>
      </c>
      <c r="O18">
        <f t="shared" si="2"/>
        <v>5</v>
      </c>
      <c r="P18">
        <f t="shared" si="3"/>
        <v>5</v>
      </c>
      <c r="Q18">
        <f t="shared" si="4"/>
        <v>0</v>
      </c>
      <c r="R18">
        <f t="shared" si="5"/>
        <v>5</v>
      </c>
      <c r="S18">
        <f t="shared" si="6"/>
        <v>4</v>
      </c>
      <c r="T18">
        <f t="shared" si="7"/>
        <v>1</v>
      </c>
      <c r="U18">
        <f t="shared" si="8"/>
        <v>2</v>
      </c>
      <c r="V18">
        <f t="shared" si="9"/>
        <v>4</v>
      </c>
      <c r="W18">
        <f t="shared" si="10"/>
        <v>1</v>
      </c>
      <c r="X18">
        <f t="shared" si="11"/>
        <v>4</v>
      </c>
      <c r="Y18">
        <f t="shared" si="12"/>
        <v>5</v>
      </c>
      <c r="Z18">
        <f t="shared" si="13"/>
        <v>0</v>
      </c>
      <c r="AA18">
        <f t="shared" si="14"/>
        <v>36</v>
      </c>
      <c r="AB18">
        <f t="shared" si="1"/>
        <v>0.82692307692307687</v>
      </c>
    </row>
    <row r="19" spans="1:28" ht="173.25" x14ac:dyDescent="0.25">
      <c r="A19" s="6" t="s">
        <v>16</v>
      </c>
      <c r="B19" s="2" t="s">
        <v>44</v>
      </c>
      <c r="C19" s="5" t="s">
        <v>149</v>
      </c>
      <c r="D19" s="5" t="s">
        <v>167</v>
      </c>
      <c r="E19" s="5" t="s">
        <v>169</v>
      </c>
      <c r="F19" s="5" t="s">
        <v>200</v>
      </c>
      <c r="G19" s="5" t="s">
        <v>261</v>
      </c>
      <c r="H19" s="5" t="s">
        <v>275</v>
      </c>
      <c r="I19" s="5" t="s">
        <v>302</v>
      </c>
      <c r="J19" s="5" t="s">
        <v>344</v>
      </c>
      <c r="K19" s="5" t="s">
        <v>329</v>
      </c>
      <c r="L19" s="5" t="s">
        <v>477</v>
      </c>
      <c r="M19" s="5" t="s">
        <v>454</v>
      </c>
      <c r="N19" s="5" t="s">
        <v>426</v>
      </c>
      <c r="O19">
        <f t="shared" si="2"/>
        <v>18</v>
      </c>
      <c r="P19">
        <f t="shared" si="3"/>
        <v>11</v>
      </c>
      <c r="Q19">
        <f t="shared" si="4"/>
        <v>2</v>
      </c>
      <c r="R19">
        <f t="shared" si="5"/>
        <v>16</v>
      </c>
      <c r="S19">
        <f t="shared" si="6"/>
        <v>18</v>
      </c>
      <c r="T19">
        <f t="shared" si="7"/>
        <v>7</v>
      </c>
      <c r="U19">
        <f t="shared" si="8"/>
        <v>17</v>
      </c>
      <c r="V19">
        <f t="shared" si="9"/>
        <v>13</v>
      </c>
      <c r="W19">
        <f t="shared" si="10"/>
        <v>4</v>
      </c>
      <c r="X19">
        <f t="shared" si="11"/>
        <v>16</v>
      </c>
      <c r="Y19">
        <f t="shared" si="12"/>
        <v>10</v>
      </c>
      <c r="Z19">
        <f t="shared" si="13"/>
        <v>2</v>
      </c>
      <c r="AA19">
        <f t="shared" si="14"/>
        <v>134</v>
      </c>
      <c r="AB19">
        <f t="shared" si="1"/>
        <v>0.35576923076923073</v>
      </c>
    </row>
    <row r="20" spans="1:28" ht="47.25" x14ac:dyDescent="0.25">
      <c r="A20" s="6" t="s">
        <v>17</v>
      </c>
      <c r="B20" s="2" t="s">
        <v>45</v>
      </c>
      <c r="C20" s="5"/>
      <c r="D20" t="s">
        <v>163</v>
      </c>
      <c r="G20" t="s">
        <v>252</v>
      </c>
      <c r="I20" s="5"/>
      <c r="O20">
        <f t="shared" si="2"/>
        <v>0</v>
      </c>
      <c r="P20">
        <f t="shared" si="3"/>
        <v>1</v>
      </c>
      <c r="Q20">
        <f t="shared" si="4"/>
        <v>0</v>
      </c>
      <c r="R20">
        <f t="shared" si="5"/>
        <v>0</v>
      </c>
      <c r="S20">
        <f t="shared" si="6"/>
        <v>1</v>
      </c>
      <c r="T20">
        <f t="shared" si="7"/>
        <v>0</v>
      </c>
      <c r="U20">
        <f t="shared" si="8"/>
        <v>0</v>
      </c>
      <c r="V20">
        <f t="shared" si="9"/>
        <v>0</v>
      </c>
      <c r="W20">
        <f t="shared" si="10"/>
        <v>0</v>
      </c>
      <c r="X20">
        <f t="shared" si="11"/>
        <v>0</v>
      </c>
      <c r="Y20">
        <f t="shared" si="12"/>
        <v>0</v>
      </c>
      <c r="Z20">
        <f t="shared" si="13"/>
        <v>0</v>
      </c>
      <c r="AA20">
        <f t="shared" si="14"/>
        <v>2</v>
      </c>
      <c r="AB20">
        <f t="shared" si="1"/>
        <v>0.99038461538461542</v>
      </c>
    </row>
    <row r="21" spans="1:28" ht="63" x14ac:dyDescent="0.25">
      <c r="A21" s="6" t="s">
        <v>18</v>
      </c>
      <c r="B21" s="2" t="s">
        <v>46</v>
      </c>
      <c r="C21" s="5"/>
      <c r="D21" t="s">
        <v>168</v>
      </c>
      <c r="E21" s="5"/>
      <c r="G21" t="s">
        <v>265</v>
      </c>
      <c r="H21" s="5"/>
      <c r="I21" s="5"/>
      <c r="M21" s="5" t="s">
        <v>457</v>
      </c>
      <c r="O21">
        <f t="shared" si="2"/>
        <v>0</v>
      </c>
      <c r="P21">
        <f t="shared" si="3"/>
        <v>4</v>
      </c>
      <c r="Q21">
        <f t="shared" si="4"/>
        <v>0</v>
      </c>
      <c r="R21">
        <f t="shared" si="5"/>
        <v>0</v>
      </c>
      <c r="S21">
        <f t="shared" si="6"/>
        <v>1</v>
      </c>
      <c r="T21">
        <f t="shared" si="7"/>
        <v>0</v>
      </c>
      <c r="U21">
        <f t="shared" si="8"/>
        <v>0</v>
      </c>
      <c r="V21">
        <f t="shared" si="9"/>
        <v>0</v>
      </c>
      <c r="W21">
        <f t="shared" si="10"/>
        <v>0</v>
      </c>
      <c r="X21">
        <f t="shared" si="11"/>
        <v>0</v>
      </c>
      <c r="Y21">
        <f t="shared" si="12"/>
        <v>1</v>
      </c>
      <c r="Z21">
        <f t="shared" si="13"/>
        <v>0</v>
      </c>
      <c r="AA21">
        <f t="shared" si="14"/>
        <v>6</v>
      </c>
      <c r="AB21">
        <f t="shared" si="1"/>
        <v>0.97115384615384615</v>
      </c>
    </row>
    <row r="22" spans="1:28" ht="78.75" x14ac:dyDescent="0.25">
      <c r="A22" s="6" t="s">
        <v>19</v>
      </c>
      <c r="B22" s="2" t="s">
        <v>47</v>
      </c>
      <c r="C22" s="5" t="s">
        <v>142</v>
      </c>
      <c r="D22" s="5" t="s">
        <v>156</v>
      </c>
      <c r="F22" s="5" t="s">
        <v>191</v>
      </c>
      <c r="G22" s="5" t="s">
        <v>262</v>
      </c>
      <c r="H22" s="5" t="s">
        <v>270</v>
      </c>
      <c r="I22" s="5" t="s">
        <v>300</v>
      </c>
      <c r="J22" s="5" t="s">
        <v>337</v>
      </c>
      <c r="K22" s="5" t="s">
        <v>322</v>
      </c>
      <c r="L22" s="5" t="s">
        <v>471</v>
      </c>
      <c r="M22" s="5" t="s">
        <v>442</v>
      </c>
      <c r="O22">
        <f t="shared" si="2"/>
        <v>9</v>
      </c>
      <c r="P22">
        <f t="shared" si="3"/>
        <v>2</v>
      </c>
      <c r="Q22">
        <f t="shared" si="4"/>
        <v>0</v>
      </c>
      <c r="R22">
        <f t="shared" si="5"/>
        <v>9</v>
      </c>
      <c r="S22">
        <f t="shared" si="6"/>
        <v>7</v>
      </c>
      <c r="T22">
        <f t="shared" si="7"/>
        <v>5</v>
      </c>
      <c r="U22">
        <f t="shared" si="8"/>
        <v>6</v>
      </c>
      <c r="V22">
        <f t="shared" si="9"/>
        <v>2</v>
      </c>
      <c r="W22">
        <f t="shared" si="10"/>
        <v>2</v>
      </c>
      <c r="X22">
        <f t="shared" si="11"/>
        <v>9</v>
      </c>
      <c r="Y22">
        <f t="shared" si="12"/>
        <v>2</v>
      </c>
      <c r="Z22">
        <f t="shared" si="13"/>
        <v>0</v>
      </c>
      <c r="AA22">
        <f t="shared" si="14"/>
        <v>53</v>
      </c>
      <c r="AB22">
        <f t="shared" si="1"/>
        <v>0.74519230769230771</v>
      </c>
    </row>
    <row r="23" spans="1:28" ht="63" x14ac:dyDescent="0.25">
      <c r="A23" s="7" t="s">
        <v>48</v>
      </c>
      <c r="B23" s="2" t="s">
        <v>59</v>
      </c>
      <c r="C23" s="5"/>
      <c r="I23" s="5" t="s">
        <v>304</v>
      </c>
      <c r="J23" s="5" t="s">
        <v>339</v>
      </c>
      <c r="K23" t="s">
        <v>325</v>
      </c>
      <c r="M23" s="5" t="s">
        <v>437</v>
      </c>
      <c r="O23">
        <f t="shared" si="2"/>
        <v>0</v>
      </c>
      <c r="P23">
        <f t="shared" si="3"/>
        <v>0</v>
      </c>
      <c r="Q23">
        <f t="shared" si="4"/>
        <v>0</v>
      </c>
      <c r="R23">
        <f t="shared" si="5"/>
        <v>0</v>
      </c>
      <c r="S23">
        <f t="shared" si="6"/>
        <v>0</v>
      </c>
      <c r="T23">
        <f t="shared" si="7"/>
        <v>0</v>
      </c>
      <c r="U23">
        <f t="shared" si="8"/>
        <v>3</v>
      </c>
      <c r="V23">
        <f t="shared" si="9"/>
        <v>2</v>
      </c>
      <c r="W23">
        <f t="shared" si="10"/>
        <v>1</v>
      </c>
      <c r="X23">
        <f t="shared" si="11"/>
        <v>0</v>
      </c>
      <c r="Y23">
        <f t="shared" si="12"/>
        <v>1</v>
      </c>
      <c r="Z23">
        <f t="shared" si="13"/>
        <v>0</v>
      </c>
      <c r="AA23">
        <f t="shared" si="14"/>
        <v>7</v>
      </c>
      <c r="AB23">
        <f t="shared" si="1"/>
        <v>0.96634615384615385</v>
      </c>
    </row>
    <row r="24" spans="1:28" ht="110.25" x14ac:dyDescent="0.25">
      <c r="A24" s="6" t="s">
        <v>20</v>
      </c>
      <c r="B24" s="2" t="s">
        <v>60</v>
      </c>
      <c r="C24" s="5" t="s">
        <v>148</v>
      </c>
      <c r="D24" s="5" t="s">
        <v>157</v>
      </c>
      <c r="F24" s="5" t="s">
        <v>194</v>
      </c>
      <c r="G24" s="5" t="s">
        <v>263</v>
      </c>
      <c r="H24" s="5" t="s">
        <v>240</v>
      </c>
      <c r="I24" s="5" t="s">
        <v>303</v>
      </c>
      <c r="J24" s="5" t="s">
        <v>345</v>
      </c>
      <c r="K24" s="5" t="s">
        <v>330</v>
      </c>
      <c r="L24" s="5" t="s">
        <v>478</v>
      </c>
      <c r="M24" s="5" t="s">
        <v>450</v>
      </c>
      <c r="O24">
        <f t="shared" si="2"/>
        <v>8</v>
      </c>
      <c r="P24">
        <f t="shared" si="3"/>
        <v>1</v>
      </c>
      <c r="Q24">
        <f t="shared" si="4"/>
        <v>0</v>
      </c>
      <c r="R24">
        <f t="shared" si="5"/>
        <v>9</v>
      </c>
      <c r="S24">
        <f t="shared" si="6"/>
        <v>5</v>
      </c>
      <c r="T24">
        <f t="shared" si="7"/>
        <v>2</v>
      </c>
      <c r="U24">
        <f t="shared" si="8"/>
        <v>7</v>
      </c>
      <c r="V24">
        <f t="shared" si="9"/>
        <v>4</v>
      </c>
      <c r="W24">
        <f t="shared" si="10"/>
        <v>1</v>
      </c>
      <c r="X24">
        <f t="shared" si="11"/>
        <v>8</v>
      </c>
      <c r="Y24">
        <f t="shared" si="12"/>
        <v>1</v>
      </c>
      <c r="Z24">
        <f t="shared" si="13"/>
        <v>0</v>
      </c>
      <c r="AA24">
        <f t="shared" si="14"/>
        <v>46</v>
      </c>
      <c r="AB24">
        <f t="shared" si="1"/>
        <v>0.77884615384615385</v>
      </c>
    </row>
    <row r="25" spans="1:28" ht="47.25" x14ac:dyDescent="0.25">
      <c r="A25" s="6" t="s">
        <v>21</v>
      </c>
      <c r="B25" s="2" t="s">
        <v>49</v>
      </c>
      <c r="C25" s="5"/>
      <c r="I25" s="5" t="s">
        <v>284</v>
      </c>
      <c r="O25">
        <f t="shared" si="2"/>
        <v>0</v>
      </c>
      <c r="P25">
        <f t="shared" si="3"/>
        <v>0</v>
      </c>
      <c r="Q25">
        <f t="shared" si="4"/>
        <v>0</v>
      </c>
      <c r="R25">
        <f t="shared" si="5"/>
        <v>0</v>
      </c>
      <c r="S25">
        <f t="shared" si="6"/>
        <v>0</v>
      </c>
      <c r="T25">
        <f t="shared" si="7"/>
        <v>0</v>
      </c>
      <c r="U25">
        <f t="shared" si="8"/>
        <v>1</v>
      </c>
      <c r="V25">
        <f t="shared" si="9"/>
        <v>0</v>
      </c>
      <c r="W25">
        <f t="shared" si="10"/>
        <v>0</v>
      </c>
      <c r="X25">
        <f t="shared" si="11"/>
        <v>0</v>
      </c>
      <c r="Y25">
        <f t="shared" si="12"/>
        <v>0</v>
      </c>
      <c r="Z25">
        <f t="shared" si="13"/>
        <v>0</v>
      </c>
      <c r="AA25">
        <f t="shared" si="14"/>
        <v>1</v>
      </c>
      <c r="AB25">
        <f t="shared" si="1"/>
        <v>0.99519230769230771</v>
      </c>
    </row>
    <row r="26" spans="1:28" ht="63" x14ac:dyDescent="0.25">
      <c r="A26" s="6" t="s">
        <v>22</v>
      </c>
      <c r="B26" s="2" t="s">
        <v>50</v>
      </c>
      <c r="C26" s="5"/>
      <c r="G26" t="s">
        <v>224</v>
      </c>
      <c r="I26" s="5"/>
      <c r="J26" s="5" t="s">
        <v>333</v>
      </c>
      <c r="K26" t="s">
        <v>325</v>
      </c>
      <c r="O26">
        <f t="shared" si="2"/>
        <v>0</v>
      </c>
      <c r="P26">
        <f t="shared" si="3"/>
        <v>0</v>
      </c>
      <c r="Q26">
        <f t="shared" si="4"/>
        <v>0</v>
      </c>
      <c r="R26">
        <f t="shared" si="5"/>
        <v>0</v>
      </c>
      <c r="S26">
        <f t="shared" si="6"/>
        <v>1</v>
      </c>
      <c r="T26">
        <f t="shared" si="7"/>
        <v>0</v>
      </c>
      <c r="U26">
        <f t="shared" si="8"/>
        <v>0</v>
      </c>
      <c r="V26">
        <f t="shared" si="9"/>
        <v>0</v>
      </c>
      <c r="W26">
        <f t="shared" si="10"/>
        <v>1</v>
      </c>
      <c r="X26">
        <f t="shared" si="11"/>
        <v>0</v>
      </c>
      <c r="Y26">
        <f t="shared" si="12"/>
        <v>0</v>
      </c>
      <c r="Z26">
        <f t="shared" si="13"/>
        <v>0</v>
      </c>
      <c r="AA26">
        <f t="shared" si="14"/>
        <v>2</v>
      </c>
      <c r="AB26">
        <f t="shared" si="1"/>
        <v>0.99038461538461542</v>
      </c>
    </row>
    <row r="27" spans="1:28" ht="63" x14ac:dyDescent="0.25">
      <c r="A27" s="6" t="s">
        <v>23</v>
      </c>
      <c r="B27" s="2" t="s">
        <v>51</v>
      </c>
      <c r="C27" s="5" t="s">
        <v>138</v>
      </c>
      <c r="D27" s="5" t="s">
        <v>163</v>
      </c>
      <c r="E27" s="5" t="s">
        <v>173</v>
      </c>
      <c r="F27" s="5" t="s">
        <v>188</v>
      </c>
      <c r="G27" s="5" t="s">
        <v>256</v>
      </c>
      <c r="H27" s="5" t="s">
        <v>267</v>
      </c>
      <c r="I27" s="5" t="s">
        <v>298</v>
      </c>
      <c r="J27" s="5" t="s">
        <v>342</v>
      </c>
      <c r="K27" s="5" t="s">
        <v>326</v>
      </c>
      <c r="L27" s="5" t="s">
        <v>468</v>
      </c>
      <c r="M27" s="5" t="s">
        <v>449</v>
      </c>
      <c r="N27" s="5" t="s">
        <v>432</v>
      </c>
      <c r="O27">
        <f t="shared" si="2"/>
        <v>2</v>
      </c>
      <c r="P27">
        <f t="shared" si="3"/>
        <v>1</v>
      </c>
      <c r="Q27">
        <f t="shared" si="4"/>
        <v>1</v>
      </c>
      <c r="R27">
        <f t="shared" si="5"/>
        <v>3</v>
      </c>
      <c r="S27">
        <f t="shared" si="6"/>
        <v>2</v>
      </c>
      <c r="T27">
        <f t="shared" si="7"/>
        <v>3</v>
      </c>
      <c r="U27">
        <f t="shared" si="8"/>
        <v>3</v>
      </c>
      <c r="V27">
        <f t="shared" si="9"/>
        <v>1</v>
      </c>
      <c r="W27">
        <f t="shared" si="10"/>
        <v>2</v>
      </c>
      <c r="X27">
        <f t="shared" si="11"/>
        <v>2</v>
      </c>
      <c r="Y27">
        <f t="shared" si="12"/>
        <v>1</v>
      </c>
      <c r="Z27">
        <f t="shared" si="13"/>
        <v>1</v>
      </c>
      <c r="AA27">
        <f t="shared" si="14"/>
        <v>22</v>
      </c>
      <c r="AB27">
        <f t="shared" si="1"/>
        <v>0.89423076923076927</v>
      </c>
    </row>
    <row r="28" spans="1:28" ht="31.5" x14ac:dyDescent="0.25">
      <c r="A28" s="6" t="s">
        <v>24</v>
      </c>
      <c r="B28" s="2" t="s">
        <v>52</v>
      </c>
      <c r="C28" s="5" t="s">
        <v>143</v>
      </c>
      <c r="F28" s="5" t="s">
        <v>184</v>
      </c>
      <c r="I28" s="5"/>
      <c r="L28" s="5" t="s">
        <v>472</v>
      </c>
      <c r="O28">
        <f t="shared" si="2"/>
        <v>1</v>
      </c>
      <c r="P28">
        <f t="shared" si="3"/>
        <v>0</v>
      </c>
      <c r="Q28">
        <f t="shared" si="4"/>
        <v>0</v>
      </c>
      <c r="R28">
        <f t="shared" si="5"/>
        <v>1</v>
      </c>
      <c r="S28">
        <f t="shared" si="6"/>
        <v>0</v>
      </c>
      <c r="T28">
        <f t="shared" si="7"/>
        <v>0</v>
      </c>
      <c r="U28">
        <f t="shared" si="8"/>
        <v>0</v>
      </c>
      <c r="V28">
        <f t="shared" si="9"/>
        <v>0</v>
      </c>
      <c r="W28">
        <f t="shared" si="10"/>
        <v>0</v>
      </c>
      <c r="X28">
        <f t="shared" si="11"/>
        <v>1</v>
      </c>
      <c r="Y28">
        <f t="shared" si="12"/>
        <v>0</v>
      </c>
      <c r="Z28">
        <f t="shared" si="13"/>
        <v>0</v>
      </c>
      <c r="AA28">
        <f t="shared" si="14"/>
        <v>3</v>
      </c>
      <c r="AB28">
        <f t="shared" si="1"/>
        <v>0.98557692307692313</v>
      </c>
    </row>
    <row r="29" spans="1:28" ht="47.25" x14ac:dyDescent="0.25">
      <c r="A29" s="6" t="s">
        <v>25</v>
      </c>
      <c r="B29" s="2" t="s">
        <v>53</v>
      </c>
      <c r="C29" s="5" t="s">
        <v>145</v>
      </c>
      <c r="F29" s="5" t="s">
        <v>197</v>
      </c>
      <c r="G29" s="5" t="s">
        <v>255</v>
      </c>
      <c r="I29" s="5"/>
      <c r="J29" s="5" t="s">
        <v>334</v>
      </c>
      <c r="K29" s="5" t="s">
        <v>320</v>
      </c>
      <c r="L29" s="5" t="s">
        <v>474</v>
      </c>
      <c r="O29">
        <f t="shared" si="2"/>
        <v>2</v>
      </c>
      <c r="P29">
        <f t="shared" si="3"/>
        <v>0</v>
      </c>
      <c r="Q29">
        <f t="shared" si="4"/>
        <v>0</v>
      </c>
      <c r="R29">
        <f t="shared" si="5"/>
        <v>4</v>
      </c>
      <c r="S29">
        <f t="shared" si="6"/>
        <v>2</v>
      </c>
      <c r="T29">
        <f t="shared" si="7"/>
        <v>0</v>
      </c>
      <c r="U29">
        <f t="shared" si="8"/>
        <v>0</v>
      </c>
      <c r="V29">
        <f t="shared" si="9"/>
        <v>1</v>
      </c>
      <c r="W29">
        <f t="shared" si="10"/>
        <v>1</v>
      </c>
      <c r="X29">
        <f t="shared" si="11"/>
        <v>2</v>
      </c>
      <c r="Y29">
        <f t="shared" si="12"/>
        <v>0</v>
      </c>
      <c r="Z29">
        <f t="shared" si="13"/>
        <v>0</v>
      </c>
      <c r="AA29">
        <f t="shared" si="14"/>
        <v>12</v>
      </c>
      <c r="AB29">
        <f t="shared" si="1"/>
        <v>0.94230769230769229</v>
      </c>
    </row>
    <row r="30" spans="1:28" ht="63" x14ac:dyDescent="0.25">
      <c r="A30" s="6" t="s">
        <v>26</v>
      </c>
      <c r="B30" s="2" t="s">
        <v>54</v>
      </c>
      <c r="C30" s="5" t="s">
        <v>139</v>
      </c>
      <c r="D30" s="5" t="s">
        <v>153</v>
      </c>
      <c r="E30" s="5" t="s">
        <v>174</v>
      </c>
      <c r="F30" s="5" t="s">
        <v>187</v>
      </c>
      <c r="G30" s="5" t="s">
        <v>249</v>
      </c>
      <c r="H30" s="5" t="s">
        <v>272</v>
      </c>
      <c r="I30" s="5" t="s">
        <v>288</v>
      </c>
      <c r="J30" s="5" t="s">
        <v>346</v>
      </c>
      <c r="K30" s="5" t="s">
        <v>331</v>
      </c>
      <c r="L30" s="5" t="s">
        <v>467</v>
      </c>
      <c r="M30" s="5" t="s">
        <v>439</v>
      </c>
      <c r="N30" s="5" t="s">
        <v>433</v>
      </c>
      <c r="O30">
        <f t="shared" si="2"/>
        <v>2</v>
      </c>
      <c r="P30">
        <f t="shared" si="3"/>
        <v>1</v>
      </c>
      <c r="Q30">
        <f t="shared" si="4"/>
        <v>4</v>
      </c>
      <c r="R30">
        <f t="shared" si="5"/>
        <v>3</v>
      </c>
      <c r="S30">
        <f t="shared" si="6"/>
        <v>1</v>
      </c>
      <c r="T30">
        <f t="shared" si="7"/>
        <v>2</v>
      </c>
      <c r="U30">
        <f t="shared" si="8"/>
        <v>4</v>
      </c>
      <c r="V30">
        <f t="shared" si="9"/>
        <v>4</v>
      </c>
      <c r="W30">
        <f t="shared" si="10"/>
        <v>2</v>
      </c>
      <c r="X30">
        <f t="shared" si="11"/>
        <v>3</v>
      </c>
      <c r="Y30">
        <f t="shared" si="12"/>
        <v>1</v>
      </c>
      <c r="Z30">
        <f t="shared" si="13"/>
        <v>4</v>
      </c>
      <c r="AA30">
        <f t="shared" si="14"/>
        <v>31</v>
      </c>
      <c r="AB30">
        <f t="shared" si="1"/>
        <v>0.85096153846153844</v>
      </c>
    </row>
    <row r="31" spans="1:28" ht="63" x14ac:dyDescent="0.25">
      <c r="A31" s="6" t="s">
        <v>27</v>
      </c>
      <c r="B31" s="2" t="s">
        <v>55</v>
      </c>
      <c r="C31" s="5" t="s">
        <v>134</v>
      </c>
      <c r="D31" s="5" t="s">
        <v>161</v>
      </c>
      <c r="E31" s="5" t="s">
        <v>172</v>
      </c>
      <c r="F31" s="5" t="s">
        <v>189</v>
      </c>
      <c r="G31" s="5"/>
      <c r="H31" s="5" t="s">
        <v>241</v>
      </c>
      <c r="I31" s="5" t="s">
        <v>295</v>
      </c>
      <c r="J31" s="5" t="s">
        <v>312</v>
      </c>
      <c r="L31" s="5" t="s">
        <v>463</v>
      </c>
      <c r="M31" s="5" t="s">
        <v>446</v>
      </c>
      <c r="N31" s="5" t="s">
        <v>434</v>
      </c>
      <c r="O31">
        <f t="shared" si="2"/>
        <v>1</v>
      </c>
      <c r="P31">
        <f t="shared" si="3"/>
        <v>2</v>
      </c>
      <c r="Q31">
        <f t="shared" si="4"/>
        <v>1</v>
      </c>
      <c r="R31">
        <f t="shared" si="5"/>
        <v>3</v>
      </c>
      <c r="S31">
        <f t="shared" si="6"/>
        <v>0</v>
      </c>
      <c r="T31">
        <f t="shared" si="7"/>
        <v>1</v>
      </c>
      <c r="U31">
        <f t="shared" si="8"/>
        <v>2</v>
      </c>
      <c r="V31">
        <f t="shared" si="9"/>
        <v>1</v>
      </c>
      <c r="W31">
        <f t="shared" si="10"/>
        <v>0</v>
      </c>
      <c r="X31">
        <f t="shared" si="11"/>
        <v>2</v>
      </c>
      <c r="Y31">
        <f t="shared" si="12"/>
        <v>4</v>
      </c>
      <c r="Z31">
        <f t="shared" si="13"/>
        <v>3</v>
      </c>
      <c r="AA31">
        <f t="shared" si="14"/>
        <v>20</v>
      </c>
      <c r="AB31">
        <f t="shared" si="1"/>
        <v>0.90384615384615385</v>
      </c>
    </row>
    <row r="32" spans="1:28" ht="47.25" x14ac:dyDescent="0.25">
      <c r="A32" s="13" t="s">
        <v>133</v>
      </c>
      <c r="B32" s="9"/>
      <c r="C32" s="5" t="s">
        <v>132</v>
      </c>
      <c r="D32" t="s">
        <v>163</v>
      </c>
      <c r="G32" s="5" t="s">
        <v>253</v>
      </c>
      <c r="H32" t="s">
        <v>268</v>
      </c>
      <c r="I32" s="5" t="s">
        <v>299</v>
      </c>
      <c r="J32" s="5" t="s">
        <v>311</v>
      </c>
      <c r="L32" s="5" t="s">
        <v>458</v>
      </c>
      <c r="M32" s="5" t="s">
        <v>448</v>
      </c>
      <c r="O32">
        <f t="shared" si="2"/>
        <v>1</v>
      </c>
      <c r="P32">
        <f t="shared" si="3"/>
        <v>1</v>
      </c>
      <c r="Q32">
        <f t="shared" si="4"/>
        <v>0</v>
      </c>
      <c r="R32">
        <f t="shared" si="5"/>
        <v>0</v>
      </c>
      <c r="S32">
        <f t="shared" si="6"/>
        <v>3</v>
      </c>
      <c r="T32">
        <f t="shared" si="7"/>
        <v>3</v>
      </c>
      <c r="U32">
        <f t="shared" si="8"/>
        <v>3</v>
      </c>
      <c r="V32">
        <f t="shared" si="9"/>
        <v>3</v>
      </c>
      <c r="W32">
        <f t="shared" si="10"/>
        <v>0</v>
      </c>
      <c r="X32">
        <f t="shared" si="11"/>
        <v>1</v>
      </c>
      <c r="Y32">
        <f t="shared" si="12"/>
        <v>2</v>
      </c>
      <c r="Z32">
        <f t="shared" si="13"/>
        <v>0</v>
      </c>
      <c r="AA32">
        <f t="shared" si="14"/>
        <v>17</v>
      </c>
      <c r="AB32">
        <f t="shared" si="1"/>
        <v>0.91826923076923073</v>
      </c>
    </row>
    <row r="33" spans="1:28" ht="141.75" x14ac:dyDescent="0.25">
      <c r="A33" s="5" t="s">
        <v>429</v>
      </c>
      <c r="B33" s="5"/>
      <c r="C33" s="5"/>
      <c r="D33" s="5"/>
      <c r="E33" s="5"/>
      <c r="I33" s="5"/>
      <c r="L33" s="5" t="s">
        <v>466</v>
      </c>
      <c r="M33" s="5" t="s">
        <v>455</v>
      </c>
      <c r="N33" s="5" t="s">
        <v>435</v>
      </c>
      <c r="O33">
        <f t="shared" si="2"/>
        <v>0</v>
      </c>
      <c r="P33">
        <f t="shared" si="3"/>
        <v>0</v>
      </c>
      <c r="Q33">
        <f t="shared" si="4"/>
        <v>0</v>
      </c>
      <c r="R33">
        <f t="shared" si="5"/>
        <v>0</v>
      </c>
      <c r="S33">
        <f t="shared" si="6"/>
        <v>0</v>
      </c>
      <c r="T33">
        <f t="shared" si="7"/>
        <v>0</v>
      </c>
      <c r="U33">
        <f t="shared" si="8"/>
        <v>0</v>
      </c>
      <c r="V33">
        <f t="shared" si="9"/>
        <v>0</v>
      </c>
      <c r="W33">
        <f t="shared" si="10"/>
        <v>0</v>
      </c>
      <c r="X33">
        <f t="shared" si="11"/>
        <v>4</v>
      </c>
      <c r="Y33">
        <f t="shared" si="12"/>
        <v>9</v>
      </c>
      <c r="Z33">
        <f t="shared" si="13"/>
        <v>5</v>
      </c>
      <c r="AA33">
        <f>SUM(O33:Z33)</f>
        <v>18</v>
      </c>
      <c r="AB33">
        <f>IF(1-AA33/$AA$35=1,"",1-AA33/$AA$35)</f>
        <v>0.91346153846153844</v>
      </c>
    </row>
    <row r="35" spans="1:28" ht="31.5" x14ac:dyDescent="0.25">
      <c r="Z35" s="5" t="s">
        <v>492</v>
      </c>
      <c r="AA35">
        <f>(24+20+8)*4</f>
        <v>208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0944401B910B49B41B485B97C36C5F" ma:contentTypeVersion="8" ma:contentTypeDescription="Create a new document." ma:contentTypeScope="" ma:versionID="67e8aa8affb47ce0e530cf69ce15f187">
  <xsd:schema xmlns:xsd="http://www.w3.org/2001/XMLSchema" xmlns:xs="http://www.w3.org/2001/XMLSchema" xmlns:p="http://schemas.microsoft.com/office/2006/metadata/properties" xmlns:ns3="e9179cbc-72aa-4872-8f5d-94cb765b2445" xmlns:ns4="e6c0d1a3-4b4c-4608-9c73-6f9067be7b89" targetNamespace="http://schemas.microsoft.com/office/2006/metadata/properties" ma:root="true" ma:fieldsID="c59a7e69bf1565f674d78559120cc34b" ns3:_="" ns4:_="">
    <xsd:import namespace="e9179cbc-72aa-4872-8f5d-94cb765b2445"/>
    <xsd:import namespace="e6c0d1a3-4b4c-4608-9c73-6f9067be7b8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79cbc-72aa-4872-8f5d-94cb765b24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c0d1a3-4b4c-4608-9c73-6f9067be7b8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9179cbc-72aa-4872-8f5d-94cb765b2445" xsi:nil="true"/>
  </documentManagement>
</p:properties>
</file>

<file path=customXml/itemProps1.xml><?xml version="1.0" encoding="utf-8"?>
<ds:datastoreItem xmlns:ds="http://schemas.openxmlformats.org/officeDocument/2006/customXml" ds:itemID="{490EF676-D762-4B33-A2AA-F023BEF4A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179cbc-72aa-4872-8f5d-94cb765b2445"/>
    <ds:schemaRef ds:uri="e6c0d1a3-4b4c-4608-9c73-6f9067be7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851416-CA64-4EBA-A1A0-F746BB784BC1}">
  <ds:schemaRefs>
    <ds:schemaRef ds:uri="http://schemas.microsoft.com/sharepoint/v3/contenttype/forms"/>
  </ds:schemaRefs>
</ds:datastoreItem>
</file>

<file path=customXml/itemProps3.xml><?xml version="1.0" encoding="utf-8"?>
<ds:datastoreItem xmlns:ds="http://schemas.openxmlformats.org/officeDocument/2006/customXml" ds:itemID="{E4E57FC8-83D2-4E7C-8C58-DA9881DA3DCC}">
  <ds:schemaRefs>
    <ds:schemaRef ds:uri="http://purl.org/dc/term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dcmitype/"/>
    <ds:schemaRef ds:uri="e6c0d1a3-4b4c-4608-9c73-6f9067be7b89"/>
    <ds:schemaRef ds:uri="e9179cbc-72aa-4872-8f5d-94cb765b2445"/>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Alarm Clock Total</vt:lpstr>
      <vt:lpstr>Corn shucker Total</vt:lpstr>
    </vt:vector>
  </TitlesOfParts>
  <Company>Texas A&amp;M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Glier</dc:creator>
  <cp:lastModifiedBy>Xiao, Siyi</cp:lastModifiedBy>
  <cp:lastPrinted>2012-10-01T21:54:21Z</cp:lastPrinted>
  <dcterms:created xsi:type="dcterms:W3CDTF">2012-10-01T20:59:47Z</dcterms:created>
  <dcterms:modified xsi:type="dcterms:W3CDTF">2026-04-17T02:41:12Z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0x010100A20944401B910B49B41B485B97C36C5F</vt:lpwstr>
  </property>
</Properties>
</file>